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Model" sheetId="3" state="visible" r:id="rId5"/>
    <sheet name="Scenario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Choose Bull, Base or Bear. Drives the whole model.</t>
        </r>
      </text>
    </comment>
    <comment ref="B8" authorId="0">
      <text>
        <r>
          <rPr>
            <sz val="10"/>
            <rFont val="Arial"/>
            <family val="2"/>
          </rPr>
          <t xml:space="preserve">Policy On models onboarding of existing SG companies / unit trusts if MAS permits conversion.</t>
        </r>
      </text>
    </comment>
  </commentList>
</comments>
</file>

<file path=xl/sharedStrings.xml><?xml version="1.0" encoding="utf-8"?>
<sst xmlns="http://schemas.openxmlformats.org/spreadsheetml/2006/main" count="242" uniqueCount="95">
  <si>
    <t xml:space="preserve">SEEKING ALPHA ADVISORS</t>
  </si>
  <si>
    <t xml:space="preserve">Research, Advisory &amp; Execution</t>
  </si>
  <si>
    <t xml:space="preserve">Alpha Legal — Platform Unit Economics</t>
  </si>
  <si>
    <t xml:space="preserve">Singapore VCC origination platform · 5-year model</t>
  </si>
  <si>
    <t xml:space="preserve">HOW TO USE</t>
  </si>
  <si>
    <t xml:space="preserve">1. Set the two controls on the Assumptions tab: Scenario (Bull / Base / Bear) and Policy (conversion On / Off).</t>
  </si>
  <si>
    <t xml:space="preserve">2. Edit any blue input cell (pricing, costs, scenario drivers) to flex the model.</t>
  </si>
  <si>
    <t xml:space="preserve">3. The Model tab shows the active scenario in detail. Scenarios compares all three plus the policy convexity. Dashboard shows the headline KPIs and chart.</t>
  </si>
  <si>
    <t xml:space="preserve">4. All figures recalculate live. Blue = input, black = formula.</t>
  </si>
  <si>
    <t xml:space="preserve">READ THIS</t>
  </si>
  <si>
    <t xml:space="preserve">Illustrative model built from public cost ranges, not a forecast. Unit prices and take rates are assumptions; willingness-to-pay is unproven.</t>
  </si>
  <si>
    <t xml:space="preserve">The conversion policy (onboarding SG companies / unit trusts to a VCC) is reported as under MAS consideration, not enacted. It is the upside lever, modelled via the Policy toggle.</t>
  </si>
  <si>
    <t xml:space="preserve">Not legal, tax or investment advice.</t>
  </si>
  <si>
    <t xml:space="preserve">a MERE conduit for the VISION  ·  Wallahu a'lam</t>
  </si>
  <si>
    <t xml:space="preserve">ASSUMPTIONS &amp; CONTROLS</t>
  </si>
  <si>
    <t xml:space="preserve">CONTROLS</t>
  </si>
  <si>
    <t xml:space="preserve">Scenario</t>
  </si>
  <si>
    <t xml:space="preserve">Base</t>
  </si>
  <si>
    <t xml:space="preserve">Policy: VCC conversion of SG cos / unit trusts</t>
  </si>
  <si>
    <t xml:space="preserve">On</t>
  </si>
  <si>
    <t xml:space="preserve">Policy flag (auto)</t>
  </si>
  <si>
    <t xml:space="preserve">PRICING (S$)</t>
  </si>
  <si>
    <t xml:space="preserve">VCC document-set fee (per setup)</t>
  </si>
  <si>
    <t xml:space="preserve">Sub-fund generation fee (per sub-fund)</t>
  </si>
  <si>
    <t xml:space="preserve">White-label licence (per firm, per year)</t>
  </si>
  <si>
    <t xml:space="preserve">Recurring orchestration (per active VCC, per year)</t>
  </si>
  <si>
    <t xml:space="preserve">COSTS</t>
  </si>
  <si>
    <t xml:space="preserve">Fixed opex, Year 1 (dev, hosting, compliance, team)</t>
  </si>
  <si>
    <t xml:space="preserve">Fixed opex growth (per year)</t>
  </si>
  <si>
    <t xml:space="preserve">Marginal cost per document set</t>
  </si>
  <si>
    <t xml:space="preserve">Marginal cost per sub-fund</t>
  </si>
  <si>
    <t xml:space="preserve">Active VCC retention (per year)</t>
  </si>
  <si>
    <t xml:space="preserve">SCENARIO DRIVERS</t>
  </si>
  <si>
    <t xml:space="preserve">Bull</t>
  </si>
  <si>
    <t xml:space="preserve">Bear</t>
  </si>
  <si>
    <t xml:space="preserve">Active</t>
  </si>
  <si>
    <t xml:space="preserve">Market new VCCs, Year 1</t>
  </si>
  <si>
    <t xml:space="preserve">Market growth (per year)</t>
  </si>
  <si>
    <t xml:space="preserve">Platform share of new VCCs, Year 1</t>
  </si>
  <si>
    <t xml:space="preserve">Platform share of new VCCs, Year 5</t>
  </si>
  <si>
    <t xml:space="preserve">New sub-funds per active VCC, per year</t>
  </si>
  <si>
    <t xml:space="preserve">White-label firms, Year 1</t>
  </si>
  <si>
    <t xml:space="preserve">White-label firms, Year 5</t>
  </si>
  <si>
    <t xml:space="preserve">Conversion-eligible base (SG cos / unit trusts)</t>
  </si>
  <si>
    <t xml:space="preserve">Conversion adoption, per year (of remaining)</t>
  </si>
  <si>
    <t xml:space="preserve">Platform share of conversions</t>
  </si>
  <si>
    <t xml:space="preserve">MODEL — ACTIVE SCENARIO</t>
  </si>
  <si>
    <t xml:space="preserve">5-YEAR BUILD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</si>
  <si>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</si>
  <si>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</si>
  <si>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</si>
  <si>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</si>
  <si>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</si>
  <si>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Market new VCCs</t>
  </si>
  <si>
    <t xml:space="preserve">Platform share of new VCCs</t>
  </si>
  <si>
    <t xml:space="preserve">Platform new VCCs (organic)</t>
  </si>
  <si>
    <t xml:space="preserve">Conversion eligible (start)</t>
  </si>
  <si>
    <t xml:space="preserve">Conversions (policy-gated)</t>
  </si>
  <si>
    <t xml:space="preserve">Platform conversions</t>
  </si>
  <si>
    <t xml:space="preserve">Platform new VCCs (total)</t>
  </si>
  <si>
    <t xml:space="preserve">Active platform VCCs</t>
  </si>
  <si>
    <t xml:space="preserve">New sub-funds</t>
  </si>
  <si>
    <t xml:space="preserve">White-label firms</t>
  </si>
  <si>
    <t xml:space="preserve">VCC document-set revenue</t>
  </si>
  <si>
    <t xml:space="preserve">Sub-fund revenue</t>
  </si>
  <si>
    <t xml:space="preserve">White-label revenue</t>
  </si>
  <si>
    <t xml:space="preserve">Recurring orchestration revenue</t>
  </si>
  <si>
    <t xml:space="preserve">Total revenue</t>
  </si>
  <si>
    <t xml:space="preserve">Marginal cost</t>
  </si>
  <si>
    <t xml:space="preserve">Contribution</t>
  </si>
  <si>
    <t xml:space="preserve">Fixed opex</t>
  </si>
  <si>
    <t xml:space="preserve">EBITDA</t>
  </si>
  <si>
    <t xml:space="preserve">EBITDA margin</t>
  </si>
  <si>
    <t xml:space="preserve">Cumulative revenue</t>
  </si>
  <si>
    <t xml:space="preserve">Cumulative EBITDA</t>
  </si>
  <si>
    <t xml:space="preserve">SCENARIO COMPARISON</t>
  </si>
  <si>
    <t xml:space="preserve">SCENARIO SUMMARY</t>
  </si>
  <si>
    <t xml:space="preserve">5-year revenue</t>
  </si>
  <si>
    <t xml:space="preserve">5-year EBITDA</t>
  </si>
  <si>
    <t xml:space="preserve">Year 5 revenue</t>
  </si>
  <si>
    <t xml:space="preserve">Year 5 EBITDA margin</t>
  </si>
  <si>
    <t xml:space="preserve">POLICY CONVEXITY — BASE CASE</t>
  </si>
  <si>
    <t xml:space="preserve">Policy Off</t>
  </si>
  <si>
    <t xml:space="preserve">Policy On</t>
  </si>
  <si>
    <t xml:space="preserve">Delta</t>
  </si>
  <si>
    <t xml:space="preserve">Revenue upside multiple (On / Off)</t>
  </si>
  <si>
    <t xml:space="preserve">Bull — calculation detail</t>
  </si>
  <si>
    <t xml:space="preserve">Base — calculation detail</t>
  </si>
  <si>
    <t xml:space="preserve">Bear — calculation detail</t>
  </si>
  <si>
    <t xml:space="preserve">Base, Policy ON — calculation detail</t>
  </si>
  <si>
    <t xml:space="preserve">Base, Policy OFF — calculation detail</t>
  </si>
  <si>
    <t xml:space="preserve">DASHBOARD</t>
  </si>
  <si>
    <t xml:space="preserve">HEADLINE (ACTIVE SCENARIO)</t>
  </si>
  <si>
    <t xml:space="preserve">Year 5 EBITDA</t>
  </si>
  <si>
    <t xml:space="preserve">Revenue by year (chart data)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</si>
</sst>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S$&quot;#,##0;&quot;(S$&quot;#,##0\);\-"/>
    <numFmt numFmtId="166" formatCode="0.0%;\(0.0%\);\-"/>
    <numFmt numFmtId="167" formatCode="#,##0.0;\(#,##0.0\);\-"/>
    <numFmt numFmtId="168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4A25C"/>
      <name val="Calibri"/>
      <family val="0"/>
      <charset val="1"/>
    </font>
    <font>
      <sz val="10"/>
      <color rgb="FF8B8D91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b val="true"/>
      <sz val="10"/>
      <color rgb="FFC4A25C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C4A25C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9"/>
      <color rgb="FFC4A25C"/>
      <name val="Calibri"/>
      <family val="0"/>
      <charset val="1"/>
    </font>
    <font>
      <sz val="10"/>
      <name val="Arial"/>
      <family val="2"/>
    </font>
    <font>
      <i val="true"/>
      <sz val="10"/>
      <color rgb="FFC4A25C"/>
      <name val="Calibri"/>
      <family val="0"/>
      <charset val="1"/>
    </font>
    <font>
      <sz val="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8B8D9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A0C10"/>
      </patternFill>
    </fill>
    <fill>
      <patternFill patternType="solid">
        <fgColor rgb="FF0A0C10"/>
        <bgColor rgb="FF000000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A25C"/>
      <rgbColor rgb="FF878787"/>
      <rgbColor rgb="FF9999FF"/>
      <rgbColor rgb="FFC0504D"/>
      <rgbColor rgb="FFFFF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B8D91"/>
      <rgbColor rgb="FF003366"/>
      <rgbColor rgb="FF339966"/>
      <rgbColor rgb="FF0A0C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Year (S$)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Dashboard!B20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Dashboard!$C$18:$G$18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Dashboard!$C$20:$G$20</c:f>
              <c:numCache>
                <c:formatCode>"S$"#,##0;"(S$"#,##0\);\-</c:formatCode>
                <c:ptCount val="5"/>
                <c:pt idx="0">
                  <c:v>362100</c:v>
                </c:pt>
                <c:pt idx="1">
                  <c:v>690998.25</c:v>
                </c:pt>
                <c:pt idx="2">
                  <c:v>1044096.24</c:v>
                </c:pt>
                <c:pt idx="3">
                  <c:v>1428157.074675</c:v>
                </c:pt>
                <c:pt idx="4">
                  <c:v>1851197.5972785</c:v>
                </c:pt>
              </c:numCache>
            </c:numRef>
          </c:val>
        </c:ser>
        <c:ser>
          <c:idx val="1"/>
          <c:order val="1"/>
          <c:tx>
            <c:strRef>
              <c:f>Dashboard!B21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Dashboard!$C$18:$G$18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Dashboard!$C$21:$G$21</c:f>
              <c:numCache>
                <c:formatCode>"S$"#,##0;"(S$"#,##0\);\-</c:formatCode>
                <c:ptCount val="5"/>
                <c:pt idx="0">
                  <c:v>180500</c:v>
                </c:pt>
                <c:pt idx="1">
                  <c:v>376964.5</c:v>
                </c:pt>
                <c:pt idx="2">
                  <c:v>582474.11</c:v>
                </c:pt>
                <c:pt idx="3">
                  <c:v>798535.5628</c:v>
                </c:pt>
                <c:pt idx="4">
                  <c:v>1026848.449544</c:v>
                </c:pt>
              </c:numCache>
            </c:numRef>
          </c:val>
        </c:ser>
        <c:ser>
          <c:idx val="2"/>
          <c:order val="2"/>
          <c:tx>
            <c:strRef>
              <c:f>Dashboard!B22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Dashboard!$C$18:$G$18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Dashboard!$C$22:$G$22</c:f>
              <c:numCache>
                <c:formatCode>"S$"#,##0;"(S$"#,##0\);\-</c:formatCode>
                <c:ptCount val="5"/>
                <c:pt idx="0">
                  <c:v>94960</c:v>
                </c:pt>
                <c:pt idx="1">
                  <c:v>180824.4</c:v>
                </c:pt>
                <c:pt idx="2">
                  <c:v>268916.256</c:v>
                </c:pt>
                <c:pt idx="3">
                  <c:v>359345.00844</c:v>
                </c:pt>
                <c:pt idx="4">
                  <c:v>452233.2256056</c:v>
                </c:pt>
              </c:numCache>
            </c:numRef>
          </c:val>
        </c:ser>
        <c:gapWidth val="150"/>
        <c:overlap val="0"/>
        <c:axId val="15388735"/>
        <c:axId val="2693633"/>
      </c:barChart>
      <c:catAx>
        <c:axId val="153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3633"/>
        <c:crosses val="autoZero"/>
        <c:auto val="1"/>
        <c:lblAlgn val="ctr"/>
        <c:lblOffset val="100"/>
        <c:noMultiLvlLbl val="0"/>
      </c:catAx>
      <c:valAx>
        <c:axId val="2693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S$&quot;#,##0;&quot;(S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88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417960</xdr:colOff>
      <xdr:row>40</xdr:row>
      <xdr:rowOff>21960</xdr:rowOff>
    </xdr:to>
    <xdr:graphicFrame>
      <xdr:nvGraphicFramePr>
        <xdr:cNvPr id="0" name="Chart 1"/>
        <xdr:cNvGraphicFramePr/>
      </xdr:nvGraphicFramePr>
      <xdr:xfrm>
        <a:off x="211320" y="4762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2.0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8" customFormat="false" ht="15" hidden="false" customHeight="false" outlineLevel="0" collapsed="false">
      <c r="B8" s="4" t="s">
        <v>4</v>
      </c>
      <c r="C8" s="4"/>
      <c r="D8" s="4"/>
      <c r="E8" s="4"/>
      <c r="F8" s="4"/>
      <c r="G8" s="4"/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4" customFormat="false" ht="15" hidden="false" customHeight="false" outlineLevel="0" collapsed="false">
      <c r="B14" s="4" t="s">
        <v>9</v>
      </c>
      <c r="C14" s="4"/>
      <c r="D14" s="4"/>
      <c r="E14" s="4"/>
      <c r="F14" s="4"/>
      <c r="G14" s="4"/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9" customFormat="false" ht="15" hidden="false" customHeight="false" outlineLevel="0" collapsed="false">
      <c r="B1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3"/>
  </cols>
  <sheetData>
    <row r="2" customFormat="false" ht="15" hidden="false" customHeight="false" outlineLevel="0" collapsed="false">
      <c r="B2" s="1" t="s">
        <v>14</v>
      </c>
    </row>
    <row r="4" customFormat="false" ht="15" hidden="false" customHeight="false" outlineLevel="0" collapsed="false">
      <c r="B4" s="4" t="s">
        <v>15</v>
      </c>
      <c r="C4" s="4"/>
      <c r="D4" s="4"/>
      <c r="E4" s="4"/>
      <c r="F4" s="4"/>
    </row>
    <row r="5" customFormat="false" ht="15" hidden="false" customHeight="false" outlineLevel="0" collapsed="false">
      <c r="B5" s="7" t="s">
        <v>16</v>
      </c>
    </row>
    <row r="6" customFormat="false" ht="15" hidden="false" customHeight="false" outlineLevel="0" collapsed="false">
      <c r="B6" s="8" t="s">
        <v>17</v>
      </c>
    </row>
    <row r="7" customFormat="false" ht="15" hidden="false" customHeight="false" outlineLevel="0" collapsed="false">
      <c r="B7" s="7" t="s">
        <v>18</v>
      </c>
    </row>
    <row r="8" customFormat="false" ht="15" hidden="false" customHeight="false" outlineLevel="0" collapsed="false">
      <c r="B8" s="8" t="s">
        <v>19</v>
      </c>
    </row>
    <row r="9" customFormat="false" ht="15" hidden="false" customHeight="false" outlineLevel="0" collapsed="false">
      <c r="B9" s="5" t="s">
        <v>20</v>
      </c>
    </row>
    <row r="10" customFormat="false" ht="15" hidden="false" customHeight="false" outlineLevel="0" collapsed="false">
      <c r="B10" s="5" t="n">
        <f aca="false">IF(B8="On",1,0)</f>
        <v>1</v>
      </c>
    </row>
    <row r="12" customFormat="false" ht="15" hidden="false" customHeight="false" outlineLevel="0" collapsed="false">
      <c r="B12" s="4" t="s">
        <v>21</v>
      </c>
      <c r="C12" s="4"/>
      <c r="D12" s="4"/>
      <c r="E12" s="4"/>
      <c r="F12" s="4"/>
    </row>
    <row r="13" customFormat="false" ht="15" hidden="false" customHeight="false" outlineLevel="0" collapsed="false">
      <c r="B13" s="9" t="s">
        <v>22</v>
      </c>
      <c r="C13" s="10" t="n">
        <v>2000</v>
      </c>
    </row>
    <row r="14" customFormat="false" ht="15" hidden="false" customHeight="false" outlineLevel="0" collapsed="false">
      <c r="B14" s="9" t="s">
        <v>23</v>
      </c>
      <c r="C14" s="10" t="n">
        <v>500</v>
      </c>
    </row>
    <row r="15" customFormat="false" ht="15" hidden="false" customHeight="false" outlineLevel="0" collapsed="false">
      <c r="B15" s="9" t="s">
        <v>24</v>
      </c>
      <c r="C15" s="10" t="n">
        <v>36000</v>
      </c>
    </row>
    <row r="16" customFormat="false" ht="15" hidden="false" customHeight="false" outlineLevel="0" collapsed="false">
      <c r="B16" s="9" t="s">
        <v>25</v>
      </c>
      <c r="C16" s="10" t="n">
        <v>600</v>
      </c>
    </row>
    <row r="18" customFormat="false" ht="15" hidden="false" customHeight="false" outlineLevel="0" collapsed="false">
      <c r="B18" s="4" t="s">
        <v>26</v>
      </c>
      <c r="C18" s="4"/>
      <c r="D18" s="4"/>
      <c r="E18" s="4"/>
      <c r="F18" s="4"/>
    </row>
    <row r="19" customFormat="false" ht="15" hidden="false" customHeight="false" outlineLevel="0" collapsed="false">
      <c r="B19" s="9" t="s">
        <v>27</v>
      </c>
      <c r="C19" s="10" t="n">
        <v>450000</v>
      </c>
    </row>
    <row r="20" customFormat="false" ht="15" hidden="false" customHeight="false" outlineLevel="0" collapsed="false">
      <c r="B20" s="9" t="s">
        <v>28</v>
      </c>
      <c r="C20" s="11" t="n">
        <v>0.12</v>
      </c>
    </row>
    <row r="21" customFormat="false" ht="15" hidden="false" customHeight="false" outlineLevel="0" collapsed="false">
      <c r="B21" s="9" t="s">
        <v>29</v>
      </c>
      <c r="C21" s="10" t="n">
        <v>100</v>
      </c>
    </row>
    <row r="22" customFormat="false" ht="15" hidden="false" customHeight="false" outlineLevel="0" collapsed="false">
      <c r="B22" s="9" t="s">
        <v>30</v>
      </c>
      <c r="C22" s="10" t="n">
        <v>30</v>
      </c>
    </row>
    <row r="23" customFormat="false" ht="15" hidden="false" customHeight="false" outlineLevel="0" collapsed="false">
      <c r="B23" s="9" t="s">
        <v>31</v>
      </c>
      <c r="C23" s="11" t="n">
        <v>0.9</v>
      </c>
    </row>
    <row r="25" customFormat="false" ht="15" hidden="false" customHeight="false" outlineLevel="0" collapsed="false">
      <c r="B25" s="4" t="s">
        <v>32</v>
      </c>
      <c r="C25" s="4"/>
      <c r="D25" s="4"/>
      <c r="E25" s="4"/>
      <c r="F25" s="4"/>
    </row>
    <row r="26" customFormat="false" ht="15" hidden="false" customHeight="false" outlineLevel="0" collapsed="false">
      <c r="C26" s="12" t="s">
        <v>33</v>
      </c>
      <c r="D26" s="12" t="s">
        <v>17</v>
      </c>
      <c r="E26" s="12" t="s">
        <v>34</v>
      </c>
      <c r="F26" s="12" t="s">
        <v>35</v>
      </c>
    </row>
    <row r="27" customFormat="false" ht="15" hidden="false" customHeight="false" outlineLevel="0" collapsed="false">
      <c r="B27" s="9" t="s">
        <v>36</v>
      </c>
      <c r="C27" s="13" t="n">
        <v>350</v>
      </c>
      <c r="D27" s="13" t="n">
        <v>300</v>
      </c>
      <c r="E27" s="13" t="n">
        <v>250</v>
      </c>
      <c r="F27" s="14" t="n">
        <f aca="false">IF($B$6="Bull",C27,IF($B$6="Base",D27,E27))</f>
        <v>300</v>
      </c>
    </row>
    <row r="28" customFormat="false" ht="15" hidden="false" customHeight="false" outlineLevel="0" collapsed="false">
      <c r="B28" s="9" t="s">
        <v>37</v>
      </c>
      <c r="C28" s="11" t="n">
        <v>0.15</v>
      </c>
      <c r="D28" s="11" t="n">
        <v>0.1</v>
      </c>
      <c r="E28" s="11" t="n">
        <v>0.05</v>
      </c>
      <c r="F28" s="15" t="n">
        <f aca="false">IF($B$6="Bull",C28,IF($B$6="Base",D28,E28))</f>
        <v>0.1</v>
      </c>
    </row>
    <row r="29" customFormat="false" ht="15" hidden="false" customHeight="false" outlineLevel="0" collapsed="false">
      <c r="B29" s="9" t="s">
        <v>38</v>
      </c>
      <c r="C29" s="11" t="n">
        <v>0.05</v>
      </c>
      <c r="D29" s="11" t="n">
        <v>0.03</v>
      </c>
      <c r="E29" s="11" t="n">
        <v>0.02</v>
      </c>
      <c r="F29" s="15" t="n">
        <f aca="false">IF($B$6="Bull",C29,IF($B$6="Base",D29,E29))</f>
        <v>0.03</v>
      </c>
    </row>
    <row r="30" customFormat="false" ht="15" hidden="false" customHeight="false" outlineLevel="0" collapsed="false">
      <c r="B30" s="9" t="s">
        <v>39</v>
      </c>
      <c r="C30" s="11" t="n">
        <v>0.2</v>
      </c>
      <c r="D30" s="11" t="n">
        <v>0.12</v>
      </c>
      <c r="E30" s="11" t="n">
        <v>0.06</v>
      </c>
      <c r="F30" s="15" t="n">
        <f aca="false">IF($B$6="Bull",C30,IF($B$6="Base",D30,E30))</f>
        <v>0.12</v>
      </c>
    </row>
    <row r="31" customFormat="false" ht="15" hidden="false" customHeight="false" outlineLevel="0" collapsed="false">
      <c r="B31" s="9" t="s">
        <v>40</v>
      </c>
      <c r="C31" s="13" t="n">
        <v>0.8</v>
      </c>
      <c r="D31" s="13" t="n">
        <v>0.6</v>
      </c>
      <c r="E31" s="13" t="n">
        <v>0.4</v>
      </c>
      <c r="F31" s="14" t="n">
        <f aca="false">IF($B$6="Bull",C31,IF($B$6="Base",D31,E31))</f>
        <v>0.6</v>
      </c>
    </row>
    <row r="32" customFormat="false" ht="15" hidden="false" customHeight="false" outlineLevel="0" collapsed="false">
      <c r="B32" s="9" t="s">
        <v>41</v>
      </c>
      <c r="C32" s="13" t="n">
        <v>5</v>
      </c>
      <c r="D32" s="13" t="n">
        <v>3</v>
      </c>
      <c r="E32" s="13" t="n">
        <v>2</v>
      </c>
      <c r="F32" s="14" t="n">
        <f aca="false">IF($B$6="Bull",C32,IF($B$6="Base",D32,E32))</f>
        <v>3</v>
      </c>
    </row>
    <row r="33" customFormat="false" ht="15" hidden="false" customHeight="false" outlineLevel="0" collapsed="false">
      <c r="B33" s="9" t="s">
        <v>42</v>
      </c>
      <c r="C33" s="13" t="n">
        <v>30</v>
      </c>
      <c r="D33" s="13" t="n">
        <v>20</v>
      </c>
      <c r="E33" s="13" t="n">
        <v>10</v>
      </c>
      <c r="F33" s="14" t="n">
        <f aca="false">IF($B$6="Bull",C33,IF($B$6="Base",D33,E33))</f>
        <v>20</v>
      </c>
    </row>
    <row r="34" customFormat="false" ht="15" hidden="false" customHeight="false" outlineLevel="0" collapsed="false">
      <c r="B34" s="9" t="s">
        <v>43</v>
      </c>
      <c r="C34" s="13" t="n">
        <v>12000</v>
      </c>
      <c r="D34" s="13" t="n">
        <v>10000</v>
      </c>
      <c r="E34" s="13" t="n">
        <v>8000</v>
      </c>
      <c r="F34" s="14" t="n">
        <f aca="false">IF($B$6="Bull",C34,IF($B$6="Base",D34,E34))</f>
        <v>10000</v>
      </c>
    </row>
    <row r="35" customFormat="false" ht="15" hidden="false" customHeight="false" outlineLevel="0" collapsed="false">
      <c r="B35" s="9" t="s">
        <v>44</v>
      </c>
      <c r="C35" s="11" t="n">
        <v>0.03</v>
      </c>
      <c r="D35" s="11" t="n">
        <v>0.02</v>
      </c>
      <c r="E35" s="11" t="n">
        <v>0.01</v>
      </c>
      <c r="F35" s="15" t="n">
        <f aca="false">IF($B$6="Bull",C35,IF($B$6="Base",D35,E35))</f>
        <v>0.02</v>
      </c>
    </row>
    <row r="36" customFormat="false" ht="15" hidden="false" customHeight="false" outlineLevel="0" collapsed="false">
      <c r="B36" s="9" t="s">
        <v>45</v>
      </c>
      <c r="C36" s="11" t="n">
        <v>0.12</v>
      </c>
      <c r="D36" s="11" t="n">
        <v>0.08</v>
      </c>
      <c r="E36" s="11" t="n">
        <v>0.04</v>
      </c>
      <c r="F36" s="15" t="n">
        <f aca="false">IF($B$6="Bull",C36,IF($B$6="Base",D36,E36))</f>
        <v>0.08</v>
      </c>
    </row>
  </sheetData>
  <dataValidations count="2">
    <dataValidation allowBlank="false" errorStyle="stop" operator="between" showDropDown="false" showErrorMessage="false" showInputMessage="false" sqref="B6" type="list">
      <formula1>"Bull,Base,Bear"</formula1>
      <formula2>0</formula2>
    </dataValidation>
    <dataValidation allowBlank="false" errorStyle="stop" operator="between" showDropDown="false" showErrorMessage="false" showInputMessage="false" sqref="B8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</cols>
  <sheetData>
    <row r="2" customFormat="false" ht="15" hidden="false" customHeight="false" outlineLevel="0" collapsed="false">
      <c r="B2" s="1" t="s">
        <v>46</v>
      </c>
    </row>
    <row r="3" customFormat="false" ht="15" hidden="false" customHeight="false" outlineLevel="0" collapsed="false">
      <c r="B3" s="16" t="str">
        <f aca="false">CONCATENATE("Scenario: ",Assumptions!B6,"   |   Policy: ",Assumptions!B8)</f>
        <v>Scenario: Base   |   Policy: On</v>
      </c>
    </row>
    <row r="5" customFormat="false" ht="15" hidden="false" customHeight="false" outlineLevel="0" collapsed="false">
      <c r="B5" s="4" t="s">
        <v>47</v>
      </c>
      <c r="C5" s="4"/>
      <c r="D5" s="4"/>
      <c r="E5" s="4"/>
      <c r="F5" s="4"/>
      <c r="G5" s="4"/>
    </row>
    <row r="6" customFormat="false" ht="15" hidden="false" customHeight="false" outlineLevel="0" collapsed="false">
      <c r="C6" s="12" t="s">
        <v>48</v>
      </c>
      <c r="D6" s="12" t="s">
        <v>49</v>
      </c>
      <c r="E6" s="12" t="s">
        <v>50</v>
      </c>
      <c r="F6" s="12" t="s">
        <v>51</v>
      </c>
      <c r="G6" s="12" t="s">
        <v>52</v>
      </c>
    </row>
    <row r="7" customFormat="false" ht="15" hidden="false" customHeight="false" outlineLevel="0" collapsed="false">
      <c r="B7" s="17" t="s">
        <v>53</v>
      </c>
      <c r="C7" s="18" t="n">
        <f aca="false">Assumptions!F$27</f>
        <v>300</v>
      </c>
      <c r="D7" s="18" t="n">
        <f aca="false">C7*(1+Assumptions!F$28)</f>
        <v>330</v>
      </c>
      <c r="E7" s="18" t="n">
        <f aca="false">D7*(1+Assumptions!F$28)</f>
        <v>363</v>
      </c>
      <c r="F7" s="18" t="n">
        <f aca="false">E7*(1+Assumptions!F$28)</f>
        <v>399.3</v>
      </c>
      <c r="G7" s="18" t="n">
        <f aca="false">F7*(1+Assumptions!F$28)</f>
        <v>439.23</v>
      </c>
    </row>
    <row r="8" customFormat="false" ht="15" hidden="false" customHeight="false" outlineLevel="0" collapsed="false">
      <c r="B8" s="17" t="s">
        <v>54</v>
      </c>
      <c r="C8" s="19" t="n">
        <f aca="false">Assumptions!F$29</f>
        <v>0.03</v>
      </c>
      <c r="D8" s="19" t="n">
        <f aca="false">Assumptions!F$29+(Assumptions!F$30-Assumptions!F$29)*1/4</f>
        <v>0.0525</v>
      </c>
      <c r="E8" s="19" t="n">
        <f aca="false">Assumptions!F$29+(Assumptions!F$30-Assumptions!F$29)*2/4</f>
        <v>0.075</v>
      </c>
      <c r="F8" s="19" t="n">
        <f aca="false">Assumptions!F$29+(Assumptions!F$30-Assumptions!F$29)*3/4</f>
        <v>0.0975</v>
      </c>
      <c r="G8" s="19" t="n">
        <f aca="false">Assumptions!F$30</f>
        <v>0.12</v>
      </c>
    </row>
    <row r="9" customFormat="false" ht="15" hidden="false" customHeight="false" outlineLevel="0" collapsed="false">
      <c r="B9" s="17" t="s">
        <v>55</v>
      </c>
      <c r="C9" s="18" t="n">
        <f aca="false">C7*C8</f>
        <v>9</v>
      </c>
      <c r="D9" s="18" t="n">
        <f aca="false">D7*D8</f>
        <v>17.325</v>
      </c>
      <c r="E9" s="18" t="n">
        <f aca="false">E7*E8</f>
        <v>27.225</v>
      </c>
      <c r="F9" s="18" t="n">
        <f aca="false">F7*F8</f>
        <v>38.93175</v>
      </c>
      <c r="G9" s="18" t="n">
        <f aca="false">G7*G8</f>
        <v>52.7076</v>
      </c>
    </row>
    <row r="10" customFormat="false" ht="15" hidden="false" customHeight="false" outlineLevel="0" collapsed="false">
      <c r="B10" s="17" t="s">
        <v>56</v>
      </c>
      <c r="C10" s="18" t="n">
        <f aca="false">Assumptions!F$34</f>
        <v>10000</v>
      </c>
      <c r="D10" s="18" t="n">
        <f aca="false">C10-C11</f>
        <v>9800</v>
      </c>
      <c r="E10" s="18" t="n">
        <f aca="false">D10-D11</f>
        <v>9604</v>
      </c>
      <c r="F10" s="18" t="n">
        <f aca="false">E10-E11</f>
        <v>9411.92</v>
      </c>
      <c r="G10" s="18" t="n">
        <f aca="false">F10-F11</f>
        <v>9223.6816</v>
      </c>
    </row>
    <row r="11" customFormat="false" ht="15" hidden="false" customHeight="false" outlineLevel="0" collapsed="false">
      <c r="B11" s="17" t="s">
        <v>57</v>
      </c>
      <c r="C11" s="18" t="n">
        <f aca="false">C10*Assumptions!F$35*Assumptions!$B$10</f>
        <v>200</v>
      </c>
      <c r="D11" s="18" t="n">
        <f aca="false">D10*Assumptions!F$35*Assumptions!$B$10</f>
        <v>196</v>
      </c>
      <c r="E11" s="18" t="n">
        <f aca="false">E10*Assumptions!F$35*Assumptions!$B$10</f>
        <v>192.08</v>
      </c>
      <c r="F11" s="18" t="n">
        <f aca="false">F10*Assumptions!F$35*Assumptions!$B$10</f>
        <v>188.2384</v>
      </c>
      <c r="G11" s="18" t="n">
        <f aca="false">G10*Assumptions!F$35*Assumptions!$B$10</f>
        <v>184.473632</v>
      </c>
    </row>
    <row r="12" customFormat="false" ht="15" hidden="false" customHeight="false" outlineLevel="0" collapsed="false">
      <c r="B12" s="17" t="s">
        <v>58</v>
      </c>
      <c r="C12" s="18" t="n">
        <f aca="false">C11*Assumptions!F$36</f>
        <v>16</v>
      </c>
      <c r="D12" s="18" t="n">
        <f aca="false">D11*Assumptions!F$36</f>
        <v>15.68</v>
      </c>
      <c r="E12" s="18" t="n">
        <f aca="false">E11*Assumptions!F$36</f>
        <v>15.3664</v>
      </c>
      <c r="F12" s="18" t="n">
        <f aca="false">F11*Assumptions!F$36</f>
        <v>15.059072</v>
      </c>
      <c r="G12" s="18" t="n">
        <f aca="false">G11*Assumptions!F$36</f>
        <v>14.75789056</v>
      </c>
    </row>
    <row r="13" customFormat="false" ht="15" hidden="false" customHeight="false" outlineLevel="0" collapsed="false">
      <c r="B13" s="17" t="s">
        <v>59</v>
      </c>
      <c r="C13" s="18" t="n">
        <f aca="false">C9+C12</f>
        <v>25</v>
      </c>
      <c r="D13" s="18" t="n">
        <f aca="false">D9+D12</f>
        <v>33.005</v>
      </c>
      <c r="E13" s="18" t="n">
        <f aca="false">E9+E12</f>
        <v>42.5914</v>
      </c>
      <c r="F13" s="18" t="n">
        <f aca="false">F9+F12</f>
        <v>53.990822</v>
      </c>
      <c r="G13" s="18" t="n">
        <f aca="false">G9+G12</f>
        <v>67.46549056</v>
      </c>
    </row>
    <row r="14" customFormat="false" ht="15" hidden="false" customHeight="false" outlineLevel="0" collapsed="false">
      <c r="B14" s="17" t="s">
        <v>60</v>
      </c>
      <c r="C14" s="18" t="n">
        <f aca="false">C13</f>
        <v>25</v>
      </c>
      <c r="D14" s="18" t="n">
        <f aca="false">C14*Assumptions!$C$23+D13</f>
        <v>55.505</v>
      </c>
      <c r="E14" s="18" t="n">
        <f aca="false">D14*Assumptions!$C$23+E13</f>
        <v>92.5459</v>
      </c>
      <c r="F14" s="18" t="n">
        <f aca="false">E14*Assumptions!$C$23+F13</f>
        <v>137.282132</v>
      </c>
      <c r="G14" s="18" t="n">
        <f aca="false">F14*Assumptions!$C$23+G13</f>
        <v>191.01940936</v>
      </c>
    </row>
    <row r="15" customFormat="false" ht="15" hidden="false" customHeight="false" outlineLevel="0" collapsed="false">
      <c r="B15" s="17" t="s">
        <v>61</v>
      </c>
      <c r="C15" s="18" t="n">
        <f aca="false">C14*Assumptions!F$31</f>
        <v>15</v>
      </c>
      <c r="D15" s="18" t="n">
        <f aca="false">D14*Assumptions!F$31</f>
        <v>33.303</v>
      </c>
      <c r="E15" s="18" t="n">
        <f aca="false">E14*Assumptions!F$31</f>
        <v>55.52754</v>
      </c>
      <c r="F15" s="18" t="n">
        <f aca="false">F14*Assumptions!F$31</f>
        <v>82.3692792</v>
      </c>
      <c r="G15" s="18" t="n">
        <f aca="false">G14*Assumptions!F$31</f>
        <v>114.611645616</v>
      </c>
    </row>
    <row r="16" customFormat="false" ht="15" hidden="false" customHeight="false" outlineLevel="0" collapsed="false">
      <c r="B16" s="17" t="s">
        <v>62</v>
      </c>
      <c r="C16" s="18" t="n">
        <f aca="false">Assumptions!F$32</f>
        <v>3</v>
      </c>
      <c r="D16" s="18" t="n">
        <f aca="false">Assumptions!F$32+(Assumptions!F$33-Assumptions!F$32)*1/4</f>
        <v>7.25</v>
      </c>
      <c r="E16" s="18" t="n">
        <f aca="false">Assumptions!F$32+(Assumptions!F$33-Assumptions!F$32)*2/4</f>
        <v>11.5</v>
      </c>
      <c r="F16" s="18" t="n">
        <f aca="false">Assumptions!F$32+(Assumptions!F$33-Assumptions!F$32)*3/4</f>
        <v>15.75</v>
      </c>
      <c r="G16" s="18" t="n">
        <f aca="false">Assumptions!F$33</f>
        <v>20</v>
      </c>
    </row>
    <row r="17" customFormat="false" ht="15" hidden="false" customHeight="false" outlineLevel="0" collapsed="false">
      <c r="B17" s="17" t="s">
        <v>63</v>
      </c>
      <c r="C17" s="20" t="n">
        <f aca="false">C13*Assumptions!$C$13</f>
        <v>50000</v>
      </c>
      <c r="D17" s="20" t="n">
        <f aca="false">D13*Assumptions!$C$13</f>
        <v>66010</v>
      </c>
      <c r="E17" s="20" t="n">
        <f aca="false">E13*Assumptions!$C$13</f>
        <v>85182.8</v>
      </c>
      <c r="F17" s="20" t="n">
        <f aca="false">F13*Assumptions!$C$13</f>
        <v>107981.644</v>
      </c>
      <c r="G17" s="20" t="n">
        <f aca="false">G13*Assumptions!$C$13</f>
        <v>134930.98112</v>
      </c>
    </row>
    <row r="18" customFormat="false" ht="15" hidden="false" customHeight="false" outlineLevel="0" collapsed="false">
      <c r="B18" s="17" t="s">
        <v>64</v>
      </c>
      <c r="C18" s="20" t="n">
        <f aca="false">C15*Assumptions!$C$14</f>
        <v>7500</v>
      </c>
      <c r="D18" s="20" t="n">
        <f aca="false">D15*Assumptions!$C$14</f>
        <v>16651.5</v>
      </c>
      <c r="E18" s="20" t="n">
        <f aca="false">E15*Assumptions!$C$14</f>
        <v>27763.77</v>
      </c>
      <c r="F18" s="20" t="n">
        <f aca="false">F15*Assumptions!$C$14</f>
        <v>41184.6396</v>
      </c>
      <c r="G18" s="20" t="n">
        <f aca="false">G15*Assumptions!$C$14</f>
        <v>57305.822808</v>
      </c>
    </row>
    <row r="19" customFormat="false" ht="15" hidden="false" customHeight="false" outlineLevel="0" collapsed="false">
      <c r="B19" s="17" t="s">
        <v>65</v>
      </c>
      <c r="C19" s="20" t="n">
        <f aca="false">C16*Assumptions!$C$15</f>
        <v>108000</v>
      </c>
      <c r="D19" s="20" t="n">
        <f aca="false">D16*Assumptions!$C$15</f>
        <v>261000</v>
      </c>
      <c r="E19" s="20" t="n">
        <f aca="false">E16*Assumptions!$C$15</f>
        <v>414000</v>
      </c>
      <c r="F19" s="20" t="n">
        <f aca="false">F16*Assumptions!$C$15</f>
        <v>567000</v>
      </c>
      <c r="G19" s="20" t="n">
        <f aca="false">G16*Assumptions!$C$15</f>
        <v>720000</v>
      </c>
    </row>
    <row r="20" customFormat="false" ht="15" hidden="false" customHeight="false" outlineLevel="0" collapsed="false">
      <c r="B20" s="17" t="s">
        <v>66</v>
      </c>
      <c r="C20" s="20" t="n">
        <f aca="false">C14*Assumptions!$C$16</f>
        <v>15000</v>
      </c>
      <c r="D20" s="20" t="n">
        <f aca="false">D14*Assumptions!$C$16</f>
        <v>33303</v>
      </c>
      <c r="E20" s="20" t="n">
        <f aca="false">E14*Assumptions!$C$16</f>
        <v>55527.54</v>
      </c>
      <c r="F20" s="20" t="n">
        <f aca="false">F14*Assumptions!$C$16</f>
        <v>82369.2792</v>
      </c>
      <c r="G20" s="20" t="n">
        <f aca="false">G14*Assumptions!$C$16</f>
        <v>114611.645616</v>
      </c>
    </row>
    <row r="21" customFormat="false" ht="15" hidden="false" customHeight="false" outlineLevel="0" collapsed="false">
      <c r="B21" s="21" t="s">
        <v>67</v>
      </c>
      <c r="C21" s="20" t="n">
        <f aca="false">SUM(C17:C20)</f>
        <v>180500</v>
      </c>
      <c r="D21" s="20" t="n">
        <f aca="false">SUM(D17:D20)</f>
        <v>376964.5</v>
      </c>
      <c r="E21" s="20" t="n">
        <f aca="false">SUM(E17:E20)</f>
        <v>582474.11</v>
      </c>
      <c r="F21" s="20" t="n">
        <f aca="false">SUM(F17:F20)</f>
        <v>798535.5628</v>
      </c>
      <c r="G21" s="20" t="n">
        <f aca="false">SUM(G17:G20)</f>
        <v>1026848.449544</v>
      </c>
    </row>
    <row r="22" customFormat="false" ht="15" hidden="false" customHeight="false" outlineLevel="0" collapsed="false">
      <c r="B22" s="17" t="s">
        <v>68</v>
      </c>
      <c r="C22" s="20" t="n">
        <f aca="false">C13*Assumptions!$C$21+C15*Assumptions!$C$22</f>
        <v>2950</v>
      </c>
      <c r="D22" s="20" t="n">
        <f aca="false">D13*Assumptions!$C$21+D15*Assumptions!$C$22</f>
        <v>4299.59</v>
      </c>
      <c r="E22" s="20" t="n">
        <f aca="false">E13*Assumptions!$C$21+E15*Assumptions!$C$22</f>
        <v>5924.9662</v>
      </c>
      <c r="F22" s="20" t="n">
        <f aca="false">F13*Assumptions!$C$21+F15*Assumptions!$C$22</f>
        <v>7870.160576</v>
      </c>
      <c r="G22" s="20" t="n">
        <f aca="false">G13*Assumptions!$C$21+G15*Assumptions!$C$22</f>
        <v>10184.89842448</v>
      </c>
    </row>
    <row r="23" customFormat="false" ht="15" hidden="false" customHeight="false" outlineLevel="0" collapsed="false">
      <c r="B23" s="17" t="s">
        <v>69</v>
      </c>
      <c r="C23" s="20" t="n">
        <f aca="false">C21-C22</f>
        <v>177550</v>
      </c>
      <c r="D23" s="20" t="n">
        <f aca="false">D21-D22</f>
        <v>372664.91</v>
      </c>
      <c r="E23" s="20" t="n">
        <f aca="false">E21-E22</f>
        <v>576549.1438</v>
      </c>
      <c r="F23" s="20" t="n">
        <f aca="false">F21-F22</f>
        <v>790665.402224</v>
      </c>
      <c r="G23" s="20" t="n">
        <f aca="false">G21-G22</f>
        <v>1016663.55111952</v>
      </c>
    </row>
    <row r="24" customFormat="false" ht="15" hidden="false" customHeight="false" outlineLevel="0" collapsed="false">
      <c r="B24" s="17" t="s">
        <v>70</v>
      </c>
      <c r="C24" s="20" t="n">
        <f aca="false">Assumptions!$C$19</f>
        <v>450000</v>
      </c>
      <c r="D24" s="20" t="n">
        <f aca="false">C24*(1+Assumptions!$C$20)</f>
        <v>504000</v>
      </c>
      <c r="E24" s="20" t="n">
        <f aca="false">D24*(1+Assumptions!$C$20)</f>
        <v>564480</v>
      </c>
      <c r="F24" s="20" t="n">
        <f aca="false">E24*(1+Assumptions!$C$20)</f>
        <v>632217.6</v>
      </c>
      <c r="G24" s="20" t="n">
        <f aca="false">F24*(1+Assumptions!$C$20)</f>
        <v>708083.712</v>
      </c>
    </row>
    <row r="25" customFormat="false" ht="15" hidden="false" customHeight="false" outlineLevel="0" collapsed="false">
      <c r="B25" s="21" t="s">
        <v>71</v>
      </c>
      <c r="C25" s="20" t="n">
        <f aca="false">C23-C24</f>
        <v>-272450</v>
      </c>
      <c r="D25" s="20" t="n">
        <f aca="false">D23-D24</f>
        <v>-131335.09</v>
      </c>
      <c r="E25" s="20" t="n">
        <f aca="false">E23-E24</f>
        <v>12069.1438</v>
      </c>
      <c r="F25" s="20" t="n">
        <f aca="false">F23-F24</f>
        <v>158447.802224</v>
      </c>
      <c r="G25" s="20" t="n">
        <f aca="false">G23-G24</f>
        <v>308579.83911952</v>
      </c>
    </row>
    <row r="26" customFormat="false" ht="15" hidden="false" customHeight="false" outlineLevel="0" collapsed="false">
      <c r="B26" s="17" t="s">
        <v>72</v>
      </c>
      <c r="C26" s="19" t="n">
        <f aca="false">IF(C21=0,0,C25/C21)</f>
        <v>-1.50941828254848</v>
      </c>
      <c r="D26" s="19" t="n">
        <f aca="false">IF(D21=0,0,D25/D21)</f>
        <v>-0.348401746053011</v>
      </c>
      <c r="E26" s="19" t="n">
        <f aca="false">IF(E21=0,0,E25/E21)</f>
        <v>0.0207204811214699</v>
      </c>
      <c r="F26" s="19" t="n">
        <f aca="false">IF(F21=0,0,F25/F21)</f>
        <v>0.198422975262887</v>
      </c>
      <c r="G26" s="19" t="n">
        <f aca="false">IF(G21=0,0,G25/G21)</f>
        <v>0.300511569410806</v>
      </c>
    </row>
    <row r="28" customFormat="false" ht="15" hidden="false" customHeight="false" outlineLevel="0" collapsed="false">
      <c r="B28" s="7" t="s">
        <v>73</v>
      </c>
      <c r="C28" s="22" t="n">
        <f aca="false">C21</f>
        <v>180500</v>
      </c>
      <c r="D28" s="22" t="n">
        <f aca="false">C28+D21</f>
        <v>557464.5</v>
      </c>
      <c r="E28" s="22" t="n">
        <f aca="false">D28+E21</f>
        <v>1139938.61</v>
      </c>
      <c r="F28" s="22" t="n">
        <f aca="false">E28+F21</f>
        <v>1938474.1728</v>
      </c>
      <c r="G28" s="22" t="n">
        <f aca="false">F28+G21</f>
        <v>2965322.622344</v>
      </c>
    </row>
    <row r="29" customFormat="false" ht="15" hidden="false" customHeight="false" outlineLevel="0" collapsed="false">
      <c r="B29" s="7" t="s">
        <v>74</v>
      </c>
      <c r="C29" s="22" t="n">
        <f aca="false">C25</f>
        <v>-272450</v>
      </c>
      <c r="D29" s="22" t="n">
        <f aca="false">C29+D25</f>
        <v>-403785.09</v>
      </c>
      <c r="E29" s="22" t="n">
        <f aca="false">D29+E25</f>
        <v>-391715.9462</v>
      </c>
      <c r="F29" s="22" t="n">
        <f aca="false">E29+F25</f>
        <v>-233268.143976</v>
      </c>
      <c r="G29" s="22" t="n">
        <f aca="false">F29+G25</f>
        <v>75311.6951435194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</cols>
  <sheetData>
    <row r="2" customFormat="false" ht="15" hidden="false" customHeight="false" outlineLevel="0" collapsed="false">
      <c r="B2" s="1" t="s">
        <v>75</v>
      </c>
    </row>
    <row r="4" customFormat="false" ht="15" hidden="false" customHeight="false" outlineLevel="0" collapsed="false">
      <c r="B4" s="4" t="s">
        <v>76</v>
      </c>
      <c r="C4" s="4"/>
      <c r="D4" s="4"/>
      <c r="E4" s="4"/>
    </row>
    <row r="5" customFormat="false" ht="15" hidden="false" customHeight="false" outlineLevel="0" collapsed="false">
      <c r="C5" s="12" t="s">
        <v>33</v>
      </c>
      <c r="D5" s="12" t="s">
        <v>17</v>
      </c>
      <c r="E5" s="12" t="s">
        <v>34</v>
      </c>
    </row>
    <row r="6" customFormat="false" ht="15" hidden="false" customHeight="false" outlineLevel="0" collapsed="false">
      <c r="B6" s="7" t="s">
        <v>77</v>
      </c>
      <c r="C6" s="23" t="n">
        <f aca="false">SUM(C34:G34)</f>
        <v>5376549.1619535</v>
      </c>
      <c r="D6" s="23" t="n">
        <f aca="false">SUM(C58:G58)</f>
        <v>2965322.622344</v>
      </c>
      <c r="E6" s="23" t="n">
        <f aca="false">SUM(C82:G82)</f>
        <v>1356278.8900456</v>
      </c>
    </row>
    <row r="7" customFormat="false" ht="15" hidden="false" customHeight="false" outlineLevel="0" collapsed="false">
      <c r="B7" s="7" t="s">
        <v>78</v>
      </c>
      <c r="C7" s="23" t="n">
        <f aca="false">SUM(C38:G38)</f>
        <v>2437138.24084853</v>
      </c>
      <c r="D7" s="23" t="n">
        <f aca="false">SUM(C62:G62)</f>
        <v>75311.6951435194</v>
      </c>
      <c r="E7" s="23" t="n">
        <f aca="false">SUM(C86:G86)</f>
        <v>-1511706.63162482</v>
      </c>
    </row>
    <row r="8" customFormat="false" ht="15" hidden="false" customHeight="false" outlineLevel="0" collapsed="false">
      <c r="B8" s="7" t="s">
        <v>79</v>
      </c>
      <c r="C8" s="23" t="n">
        <f aca="false">G34</f>
        <v>1851197.5972785</v>
      </c>
      <c r="D8" s="23" t="n">
        <f aca="false">G58</f>
        <v>1026848.449544</v>
      </c>
      <c r="E8" s="23" t="n">
        <f aca="false">G82</f>
        <v>452233.2256056</v>
      </c>
    </row>
    <row r="9" customFormat="false" ht="15" hidden="false" customHeight="false" outlineLevel="0" collapsed="false">
      <c r="B9" s="7" t="s">
        <v>80</v>
      </c>
      <c r="C9" s="24" t="n">
        <f aca="false">G39</f>
        <v>0.602988054903736</v>
      </c>
      <c r="D9" s="24" t="n">
        <f aca="false">G63</f>
        <v>0.300511569410806</v>
      </c>
      <c r="E9" s="24" t="n">
        <f aca="false">G87</f>
        <v>-0.572106216876827</v>
      </c>
    </row>
    <row r="12" customFormat="false" ht="15" hidden="false" customHeight="false" outlineLevel="0" collapsed="false">
      <c r="B12" s="4" t="s">
        <v>81</v>
      </c>
      <c r="C12" s="4"/>
      <c r="D12" s="4"/>
      <c r="E12" s="4"/>
    </row>
    <row r="13" customFormat="false" ht="15" hidden="false" customHeight="false" outlineLevel="0" collapsed="false">
      <c r="C13" s="12" t="s">
        <v>82</v>
      </c>
      <c r="D13" s="12" t="s">
        <v>83</v>
      </c>
      <c r="E13" s="12" t="s">
        <v>84</v>
      </c>
    </row>
    <row r="14" customFormat="false" ht="15" hidden="false" customHeight="false" outlineLevel="0" collapsed="false">
      <c r="B14" s="7" t="s">
        <v>77</v>
      </c>
      <c r="C14" s="23" t="n">
        <f aca="false">SUM(C130:G130)</f>
        <v>2627583.525</v>
      </c>
      <c r="D14" s="23" t="n">
        <f aca="false">SUM(C106:G106)</f>
        <v>2965322.622344</v>
      </c>
      <c r="E14" s="23" t="n">
        <f aca="false">D14-C14</f>
        <v>337739.097344</v>
      </c>
    </row>
    <row r="15" customFormat="false" ht="15" hidden="false" customHeight="false" outlineLevel="0" collapsed="false">
      <c r="B15" s="7" t="s">
        <v>78</v>
      </c>
      <c r="C15" s="23" t="n">
        <f aca="false">SUM(C134:G134)</f>
        <v>-251060.818500001</v>
      </c>
      <c r="D15" s="23" t="n">
        <f aca="false">SUM(C110:G110)</f>
        <v>75311.6951435194</v>
      </c>
      <c r="E15" s="23" t="n">
        <f aca="false">D15-C15</f>
        <v>326372.51364352</v>
      </c>
    </row>
    <row r="16" customFormat="false" ht="15" hidden="false" customHeight="false" outlineLevel="0" collapsed="false">
      <c r="B16" s="7" t="s">
        <v>85</v>
      </c>
      <c r="D16" s="25" t="n">
        <f aca="false">IF(C14=0,0,D14/C14)</f>
        <v>1.1285360081347</v>
      </c>
    </row>
    <row r="18" customFormat="false" ht="15" hidden="false" customHeight="false" outlineLevel="0" collapsed="false">
      <c r="B18" s="26" t="s">
        <v>86</v>
      </c>
    </row>
    <row r="19" customFormat="false" ht="15" hidden="false" customHeight="false" outlineLevel="0" collapsed="false">
      <c r="C19" s="12" t="s">
        <v>48</v>
      </c>
      <c r="D19" s="12" t="s">
        <v>49</v>
      </c>
      <c r="E19" s="12" t="s">
        <v>50</v>
      </c>
      <c r="F19" s="12" t="s">
        <v>51</v>
      </c>
      <c r="G19" s="12" t="s">
        <v>52</v>
      </c>
    </row>
    <row r="20" customFormat="false" ht="15" hidden="false" customHeight="false" outlineLevel="0" collapsed="false">
      <c r="B20" s="17" t="s">
        <v>53</v>
      </c>
      <c r="C20" s="18" t="n">
        <f aca="false">Assumptions!C$27</f>
        <v>350</v>
      </c>
      <c r="D20" s="18" t="n">
        <f aca="false">C20*(1+Assumptions!C$28)</f>
        <v>402.5</v>
      </c>
      <c r="E20" s="18" t="n">
        <f aca="false">D20*(1+Assumptions!C$28)</f>
        <v>462.875</v>
      </c>
      <c r="F20" s="18" t="n">
        <f aca="false">E20*(1+Assumptions!C$28)</f>
        <v>532.30625</v>
      </c>
      <c r="G20" s="18" t="n">
        <f aca="false">F20*(1+Assumptions!C$28)</f>
        <v>612.1521875</v>
      </c>
    </row>
    <row r="21" customFormat="false" ht="15" hidden="false" customHeight="false" outlineLevel="0" collapsed="false">
      <c r="B21" s="17" t="s">
        <v>54</v>
      </c>
      <c r="C21" s="19" t="n">
        <f aca="false">Assumptions!C$29</f>
        <v>0.05</v>
      </c>
      <c r="D21" s="19" t="n">
        <f aca="false">Assumptions!C$29+(Assumptions!C$30-Assumptions!C$29)*1/4</f>
        <v>0.0875</v>
      </c>
      <c r="E21" s="19" t="n">
        <f aca="false">Assumptions!C$29+(Assumptions!C$30-Assumptions!C$29)*2/4</f>
        <v>0.125</v>
      </c>
      <c r="F21" s="19" t="n">
        <f aca="false">Assumptions!C$29+(Assumptions!C$30-Assumptions!C$29)*3/4</f>
        <v>0.1625</v>
      </c>
      <c r="G21" s="19" t="n">
        <f aca="false">Assumptions!C$30</f>
        <v>0.2</v>
      </c>
    </row>
    <row r="22" customFormat="false" ht="15" hidden="false" customHeight="false" outlineLevel="0" collapsed="false">
      <c r="B22" s="17" t="s">
        <v>55</v>
      </c>
      <c r="C22" s="18" t="n">
        <f aca="false">C20*C21</f>
        <v>17.5</v>
      </c>
      <c r="D22" s="18" t="n">
        <f aca="false">D20*D21</f>
        <v>35.21875</v>
      </c>
      <c r="E22" s="18" t="n">
        <f aca="false">E20*E21</f>
        <v>57.859375</v>
      </c>
      <c r="F22" s="18" t="n">
        <f aca="false">F20*F21</f>
        <v>86.499765625</v>
      </c>
      <c r="G22" s="18" t="n">
        <f aca="false">G20*G21</f>
        <v>122.4304375</v>
      </c>
    </row>
    <row r="23" customFormat="false" ht="15" hidden="false" customHeight="false" outlineLevel="0" collapsed="false">
      <c r="B23" s="17" t="s">
        <v>56</v>
      </c>
      <c r="C23" s="18" t="n">
        <f aca="false">Assumptions!C$34</f>
        <v>12000</v>
      </c>
      <c r="D23" s="18" t="n">
        <f aca="false">C23-C24</f>
        <v>11640</v>
      </c>
      <c r="E23" s="18" t="n">
        <f aca="false">D23-D24</f>
        <v>11290.8</v>
      </c>
      <c r="F23" s="18" t="n">
        <f aca="false">E23-E24</f>
        <v>10952.076</v>
      </c>
      <c r="G23" s="18" t="n">
        <f aca="false">F23-F24</f>
        <v>10623.51372</v>
      </c>
    </row>
    <row r="24" customFormat="false" ht="15" hidden="false" customHeight="false" outlineLevel="0" collapsed="false">
      <c r="B24" s="17" t="s">
        <v>57</v>
      </c>
      <c r="C24" s="18" t="n">
        <f aca="false">C23*Assumptions!C$35*Assumptions!$B$10</f>
        <v>360</v>
      </c>
      <c r="D24" s="18" t="n">
        <f aca="false">D23*Assumptions!C$35*Assumptions!$B$10</f>
        <v>349.2</v>
      </c>
      <c r="E24" s="18" t="n">
        <f aca="false">E23*Assumptions!C$35*Assumptions!$B$10</f>
        <v>338.724</v>
      </c>
      <c r="F24" s="18" t="n">
        <f aca="false">F23*Assumptions!C$35*Assumptions!$B$10</f>
        <v>328.56228</v>
      </c>
      <c r="G24" s="18" t="n">
        <f aca="false">G23*Assumptions!C$35*Assumptions!$B$10</f>
        <v>318.7054116</v>
      </c>
    </row>
    <row r="25" customFormat="false" ht="15" hidden="false" customHeight="false" outlineLevel="0" collapsed="false">
      <c r="B25" s="17" t="s">
        <v>58</v>
      </c>
      <c r="C25" s="18" t="n">
        <f aca="false">C24*Assumptions!C$36</f>
        <v>43.2</v>
      </c>
      <c r="D25" s="18" t="n">
        <f aca="false">D24*Assumptions!C$36</f>
        <v>41.904</v>
      </c>
      <c r="E25" s="18" t="n">
        <f aca="false">E24*Assumptions!C$36</f>
        <v>40.64688</v>
      </c>
      <c r="F25" s="18" t="n">
        <f aca="false">F24*Assumptions!C$36</f>
        <v>39.4274736</v>
      </c>
      <c r="G25" s="18" t="n">
        <f aca="false">G24*Assumptions!C$36</f>
        <v>38.244649392</v>
      </c>
    </row>
    <row r="26" customFormat="false" ht="15" hidden="false" customHeight="false" outlineLevel="0" collapsed="false">
      <c r="B26" s="17" t="s">
        <v>59</v>
      </c>
      <c r="C26" s="18" t="n">
        <f aca="false">C22+C25</f>
        <v>60.7</v>
      </c>
      <c r="D26" s="18" t="n">
        <f aca="false">D22+D25</f>
        <v>77.12275</v>
      </c>
      <c r="E26" s="18" t="n">
        <f aca="false">E22+E25</f>
        <v>98.506255</v>
      </c>
      <c r="F26" s="18" t="n">
        <f aca="false">F22+F25</f>
        <v>125.927239225</v>
      </c>
      <c r="G26" s="18" t="n">
        <f aca="false">G22+G25</f>
        <v>160.675086892</v>
      </c>
    </row>
    <row r="27" customFormat="false" ht="15" hidden="false" customHeight="false" outlineLevel="0" collapsed="false">
      <c r="B27" s="17" t="s">
        <v>60</v>
      </c>
      <c r="C27" s="18" t="n">
        <f aca="false">C26</f>
        <v>60.7</v>
      </c>
      <c r="D27" s="18" t="n">
        <f aca="false">C27*Assumptions!$C$23+D26</f>
        <v>131.75275</v>
      </c>
      <c r="E27" s="18" t="n">
        <f aca="false">D27*Assumptions!$C$23+E26</f>
        <v>217.08373</v>
      </c>
      <c r="F27" s="18" t="n">
        <f aca="false">E27*Assumptions!$C$23+F26</f>
        <v>321.302596225</v>
      </c>
      <c r="G27" s="18" t="n">
        <f aca="false">F27*Assumptions!$C$23+G26</f>
        <v>449.8474234945</v>
      </c>
    </row>
    <row r="28" customFormat="false" ht="15" hidden="false" customHeight="false" outlineLevel="0" collapsed="false">
      <c r="B28" s="17" t="s">
        <v>61</v>
      </c>
      <c r="C28" s="18" t="n">
        <f aca="false">C27*Assumptions!C$31</f>
        <v>48.56</v>
      </c>
      <c r="D28" s="18" t="n">
        <f aca="false">D27*Assumptions!C$31</f>
        <v>105.4022</v>
      </c>
      <c r="E28" s="18" t="n">
        <f aca="false">E27*Assumptions!C$31</f>
        <v>173.666984</v>
      </c>
      <c r="F28" s="18" t="n">
        <f aca="false">F27*Assumptions!C$31</f>
        <v>257.04207698</v>
      </c>
      <c r="G28" s="18" t="n">
        <f aca="false">G27*Assumptions!C$31</f>
        <v>359.8779387956</v>
      </c>
    </row>
    <row r="29" customFormat="false" ht="15" hidden="false" customHeight="false" outlineLevel="0" collapsed="false">
      <c r="B29" s="17" t="s">
        <v>62</v>
      </c>
      <c r="C29" s="18" t="n">
        <f aca="false">Assumptions!C$32</f>
        <v>5</v>
      </c>
      <c r="D29" s="18" t="n">
        <f aca="false">Assumptions!C$32+(Assumptions!C$33-Assumptions!C$32)*1/4</f>
        <v>11.25</v>
      </c>
      <c r="E29" s="18" t="n">
        <f aca="false">Assumptions!C$32+(Assumptions!C$33-Assumptions!C$32)*2/4</f>
        <v>17.5</v>
      </c>
      <c r="F29" s="18" t="n">
        <f aca="false">Assumptions!C$32+(Assumptions!C$33-Assumptions!C$32)*3/4</f>
        <v>23.75</v>
      </c>
      <c r="G29" s="18" t="n">
        <f aca="false">Assumptions!C$33</f>
        <v>30</v>
      </c>
    </row>
    <row r="30" customFormat="false" ht="15" hidden="false" customHeight="false" outlineLevel="0" collapsed="false">
      <c r="B30" s="17" t="s">
        <v>63</v>
      </c>
      <c r="C30" s="20" t="n">
        <f aca="false">C26*Assumptions!$C$13</f>
        <v>121400</v>
      </c>
      <c r="D30" s="20" t="n">
        <f aca="false">D26*Assumptions!$C$13</f>
        <v>154245.5</v>
      </c>
      <c r="E30" s="20" t="n">
        <f aca="false">E26*Assumptions!$C$13</f>
        <v>197012.51</v>
      </c>
      <c r="F30" s="20" t="n">
        <f aca="false">F26*Assumptions!$C$13</f>
        <v>251854.47845</v>
      </c>
      <c r="G30" s="20" t="n">
        <f aca="false">G26*Assumptions!$C$13</f>
        <v>321350.173784</v>
      </c>
    </row>
    <row r="31" customFormat="false" ht="15" hidden="false" customHeight="false" outlineLevel="0" collapsed="false">
      <c r="B31" s="17" t="s">
        <v>64</v>
      </c>
      <c r="C31" s="20" t="n">
        <f aca="false">C28*Assumptions!$C$14</f>
        <v>24280</v>
      </c>
      <c r="D31" s="20" t="n">
        <f aca="false">D28*Assumptions!$C$14</f>
        <v>52701.1</v>
      </c>
      <c r="E31" s="20" t="n">
        <f aca="false">E28*Assumptions!$C$14</f>
        <v>86833.492</v>
      </c>
      <c r="F31" s="20" t="n">
        <f aca="false">F28*Assumptions!$C$14</f>
        <v>128521.03849</v>
      </c>
      <c r="G31" s="20" t="n">
        <f aca="false">G28*Assumptions!$C$14</f>
        <v>179938.9693978</v>
      </c>
    </row>
    <row r="32" customFormat="false" ht="15" hidden="false" customHeight="false" outlineLevel="0" collapsed="false">
      <c r="B32" s="17" t="s">
        <v>65</v>
      </c>
      <c r="C32" s="20" t="n">
        <f aca="false">C29*Assumptions!$C$15</f>
        <v>180000</v>
      </c>
      <c r="D32" s="20" t="n">
        <f aca="false">D29*Assumptions!$C$15</f>
        <v>405000</v>
      </c>
      <c r="E32" s="20" t="n">
        <f aca="false">E29*Assumptions!$C$15</f>
        <v>630000</v>
      </c>
      <c r="F32" s="20" t="n">
        <f aca="false">F29*Assumptions!$C$15</f>
        <v>855000</v>
      </c>
      <c r="G32" s="20" t="n">
        <f aca="false">G29*Assumptions!$C$15</f>
        <v>1080000</v>
      </c>
    </row>
    <row r="33" customFormat="false" ht="15" hidden="false" customHeight="false" outlineLevel="0" collapsed="false">
      <c r="B33" s="17" t="s">
        <v>66</v>
      </c>
      <c r="C33" s="20" t="n">
        <f aca="false">C27*Assumptions!$C$16</f>
        <v>36420</v>
      </c>
      <c r="D33" s="20" t="n">
        <f aca="false">D27*Assumptions!$C$16</f>
        <v>79051.65</v>
      </c>
      <c r="E33" s="20" t="n">
        <f aca="false">E27*Assumptions!$C$16</f>
        <v>130250.238</v>
      </c>
      <c r="F33" s="20" t="n">
        <f aca="false">F27*Assumptions!$C$16</f>
        <v>192781.557735</v>
      </c>
      <c r="G33" s="20" t="n">
        <f aca="false">G27*Assumptions!$C$16</f>
        <v>269908.4540967</v>
      </c>
    </row>
    <row r="34" customFormat="false" ht="15" hidden="false" customHeight="false" outlineLevel="0" collapsed="false">
      <c r="B34" s="21" t="s">
        <v>67</v>
      </c>
      <c r="C34" s="20" t="n">
        <f aca="false">SUM(C30:C33)</f>
        <v>362100</v>
      </c>
      <c r="D34" s="20" t="n">
        <f aca="false">SUM(D30:D33)</f>
        <v>690998.25</v>
      </c>
      <c r="E34" s="20" t="n">
        <f aca="false">SUM(E30:E33)</f>
        <v>1044096.24</v>
      </c>
      <c r="F34" s="20" t="n">
        <f aca="false">SUM(F30:F33)</f>
        <v>1428157.074675</v>
      </c>
      <c r="G34" s="20" t="n">
        <f aca="false">SUM(G30:G33)</f>
        <v>1851197.5972785</v>
      </c>
    </row>
    <row r="35" customFormat="false" ht="15" hidden="false" customHeight="false" outlineLevel="0" collapsed="false">
      <c r="B35" s="17" t="s">
        <v>68</v>
      </c>
      <c r="C35" s="20" t="n">
        <f aca="false">C26*Assumptions!$C$21+C28*Assumptions!$C$22</f>
        <v>7526.8</v>
      </c>
      <c r="D35" s="20" t="n">
        <f aca="false">D26*Assumptions!$C$21+D28*Assumptions!$C$22</f>
        <v>10874.341</v>
      </c>
      <c r="E35" s="20" t="n">
        <f aca="false">E26*Assumptions!$C$21+E28*Assumptions!$C$22</f>
        <v>15060.63502</v>
      </c>
      <c r="F35" s="20" t="n">
        <f aca="false">F26*Assumptions!$C$21+F28*Assumptions!$C$22</f>
        <v>20303.9862319</v>
      </c>
      <c r="G35" s="20" t="n">
        <f aca="false">G26*Assumptions!$C$21+G28*Assumptions!$C$22</f>
        <v>26863.846853068</v>
      </c>
    </row>
    <row r="36" customFormat="false" ht="15" hidden="false" customHeight="false" outlineLevel="0" collapsed="false">
      <c r="B36" s="17" t="s">
        <v>69</v>
      </c>
      <c r="C36" s="20" t="n">
        <f aca="false">C34-C35</f>
        <v>354573.2</v>
      </c>
      <c r="D36" s="20" t="n">
        <f aca="false">D34-D35</f>
        <v>680123.909</v>
      </c>
      <c r="E36" s="20" t="n">
        <f aca="false">E34-E35</f>
        <v>1029035.60498</v>
      </c>
      <c r="F36" s="20" t="n">
        <f aca="false">F34-F35</f>
        <v>1407853.0884431</v>
      </c>
      <c r="G36" s="20" t="n">
        <f aca="false">G34-G35</f>
        <v>1824333.75042543</v>
      </c>
    </row>
    <row r="37" customFormat="false" ht="15" hidden="false" customHeight="false" outlineLevel="0" collapsed="false">
      <c r="B37" s="17" t="s">
        <v>70</v>
      </c>
      <c r="C37" s="20" t="n">
        <f aca="false">Assumptions!$C$19</f>
        <v>450000</v>
      </c>
      <c r="D37" s="20" t="n">
        <f aca="false">C37*(1+Assumptions!$C$20)</f>
        <v>504000</v>
      </c>
      <c r="E37" s="20" t="n">
        <f aca="false">D37*(1+Assumptions!$C$20)</f>
        <v>564480</v>
      </c>
      <c r="F37" s="20" t="n">
        <f aca="false">E37*(1+Assumptions!$C$20)</f>
        <v>632217.6</v>
      </c>
      <c r="G37" s="20" t="n">
        <f aca="false">F37*(1+Assumptions!$C$20)</f>
        <v>708083.712</v>
      </c>
    </row>
    <row r="38" customFormat="false" ht="15" hidden="false" customHeight="false" outlineLevel="0" collapsed="false">
      <c r="B38" s="21" t="s">
        <v>71</v>
      </c>
      <c r="C38" s="20" t="n">
        <f aca="false">C36-C37</f>
        <v>-95426.8</v>
      </c>
      <c r="D38" s="20" t="n">
        <f aca="false">D36-D37</f>
        <v>176123.909</v>
      </c>
      <c r="E38" s="20" t="n">
        <f aca="false">E36-E37</f>
        <v>464555.60498</v>
      </c>
      <c r="F38" s="20" t="n">
        <f aca="false">F36-F37</f>
        <v>775635.4884431</v>
      </c>
      <c r="G38" s="20" t="n">
        <f aca="false">G36-G37</f>
        <v>1116250.03842543</v>
      </c>
    </row>
    <row r="39" customFormat="false" ht="15" hidden="false" customHeight="false" outlineLevel="0" collapsed="false">
      <c r="B39" s="17" t="s">
        <v>72</v>
      </c>
      <c r="C39" s="19" t="n">
        <f aca="false">IF(C34=0,0,C38/C34)</f>
        <v>-0.263537144435239</v>
      </c>
      <c r="D39" s="19" t="n">
        <f aca="false">IF(D34=0,0,D38/D34)</f>
        <v>0.254883292396182</v>
      </c>
      <c r="E39" s="19" t="n">
        <f aca="false">IF(E34=0,0,E38/E34)</f>
        <v>0.444935617218581</v>
      </c>
      <c r="F39" s="19" t="n">
        <f aca="false">IF(F34=0,0,F38/F34)</f>
        <v>0.543102367517668</v>
      </c>
      <c r="G39" s="19" t="n">
        <f aca="false">IF(G34=0,0,G38/G34)</f>
        <v>0.602988054903736</v>
      </c>
    </row>
    <row r="42" customFormat="false" ht="15" hidden="false" customHeight="false" outlineLevel="0" collapsed="false">
      <c r="B42" s="26" t="s">
        <v>87</v>
      </c>
    </row>
    <row r="43" customFormat="false" ht="15" hidden="false" customHeight="false" outlineLevel="0" collapsed="false">
      <c r="C43" s="12" t="s">
        <v>48</v>
      </c>
      <c r="D43" s="12" t="s">
        <v>49</v>
      </c>
      <c r="E43" s="12" t="s">
        <v>50</v>
      </c>
      <c r="F43" s="12" t="s">
        <v>51</v>
      </c>
      <c r="G43" s="12" t="s">
        <v>52</v>
      </c>
    </row>
    <row r="44" customFormat="false" ht="15" hidden="false" customHeight="false" outlineLevel="0" collapsed="false">
      <c r="B44" s="17" t="s">
        <v>53</v>
      </c>
      <c r="C44" s="18" t="n">
        <f aca="false">Assumptions!D$27</f>
        <v>300</v>
      </c>
      <c r="D44" s="18" t="n">
        <f aca="false">C44*(1+Assumptions!D$28)</f>
        <v>330</v>
      </c>
      <c r="E44" s="18" t="n">
        <f aca="false">D44*(1+Assumptions!D$28)</f>
        <v>363</v>
      </c>
      <c r="F44" s="18" t="n">
        <f aca="false">E44*(1+Assumptions!D$28)</f>
        <v>399.3</v>
      </c>
      <c r="G44" s="18" t="n">
        <f aca="false">F44*(1+Assumptions!D$28)</f>
        <v>439.23</v>
      </c>
    </row>
    <row r="45" customFormat="false" ht="15" hidden="false" customHeight="false" outlineLevel="0" collapsed="false">
      <c r="B45" s="17" t="s">
        <v>54</v>
      </c>
      <c r="C45" s="19" t="n">
        <f aca="false">Assumptions!D$29</f>
        <v>0.03</v>
      </c>
      <c r="D45" s="19" t="n">
        <f aca="false">Assumptions!D$29+(Assumptions!D$30-Assumptions!D$29)*1/4</f>
        <v>0.0525</v>
      </c>
      <c r="E45" s="19" t="n">
        <f aca="false">Assumptions!D$29+(Assumptions!D$30-Assumptions!D$29)*2/4</f>
        <v>0.075</v>
      </c>
      <c r="F45" s="19" t="n">
        <f aca="false">Assumptions!D$29+(Assumptions!D$30-Assumptions!D$29)*3/4</f>
        <v>0.0975</v>
      </c>
      <c r="G45" s="19" t="n">
        <f aca="false">Assumptions!D$30</f>
        <v>0.12</v>
      </c>
    </row>
    <row r="46" customFormat="false" ht="15" hidden="false" customHeight="false" outlineLevel="0" collapsed="false">
      <c r="B46" s="17" t="s">
        <v>55</v>
      </c>
      <c r="C46" s="18" t="n">
        <f aca="false">C44*C45</f>
        <v>9</v>
      </c>
      <c r="D46" s="18" t="n">
        <f aca="false">D44*D45</f>
        <v>17.325</v>
      </c>
      <c r="E46" s="18" t="n">
        <f aca="false">E44*E45</f>
        <v>27.225</v>
      </c>
      <c r="F46" s="18" t="n">
        <f aca="false">F44*F45</f>
        <v>38.93175</v>
      </c>
      <c r="G46" s="18" t="n">
        <f aca="false">G44*G45</f>
        <v>52.7076</v>
      </c>
    </row>
    <row r="47" customFormat="false" ht="15" hidden="false" customHeight="false" outlineLevel="0" collapsed="false">
      <c r="B47" s="17" t="s">
        <v>56</v>
      </c>
      <c r="C47" s="18" t="n">
        <f aca="false">Assumptions!D$34</f>
        <v>10000</v>
      </c>
      <c r="D47" s="18" t="n">
        <f aca="false">C47-C48</f>
        <v>9800</v>
      </c>
      <c r="E47" s="18" t="n">
        <f aca="false">D47-D48</f>
        <v>9604</v>
      </c>
      <c r="F47" s="18" t="n">
        <f aca="false">E47-E48</f>
        <v>9411.92</v>
      </c>
      <c r="G47" s="18" t="n">
        <f aca="false">F47-F48</f>
        <v>9223.6816</v>
      </c>
    </row>
    <row r="48" customFormat="false" ht="15" hidden="false" customHeight="false" outlineLevel="0" collapsed="false">
      <c r="B48" s="17" t="s">
        <v>57</v>
      </c>
      <c r="C48" s="18" t="n">
        <f aca="false">C47*Assumptions!D$35*Assumptions!$B$10</f>
        <v>200</v>
      </c>
      <c r="D48" s="18" t="n">
        <f aca="false">D47*Assumptions!D$35*Assumptions!$B$10</f>
        <v>196</v>
      </c>
      <c r="E48" s="18" t="n">
        <f aca="false">E47*Assumptions!D$35*Assumptions!$B$10</f>
        <v>192.08</v>
      </c>
      <c r="F48" s="18" t="n">
        <f aca="false">F47*Assumptions!D$35*Assumptions!$B$10</f>
        <v>188.2384</v>
      </c>
      <c r="G48" s="18" t="n">
        <f aca="false">G47*Assumptions!D$35*Assumptions!$B$10</f>
        <v>184.473632</v>
      </c>
    </row>
    <row r="49" customFormat="false" ht="15" hidden="false" customHeight="false" outlineLevel="0" collapsed="false">
      <c r="B49" s="17" t="s">
        <v>58</v>
      </c>
      <c r="C49" s="18" t="n">
        <f aca="false">C48*Assumptions!D$36</f>
        <v>16</v>
      </c>
      <c r="D49" s="18" t="n">
        <f aca="false">D48*Assumptions!D$36</f>
        <v>15.68</v>
      </c>
      <c r="E49" s="18" t="n">
        <f aca="false">E48*Assumptions!D$36</f>
        <v>15.3664</v>
      </c>
      <c r="F49" s="18" t="n">
        <f aca="false">F48*Assumptions!D$36</f>
        <v>15.059072</v>
      </c>
      <c r="G49" s="18" t="n">
        <f aca="false">G48*Assumptions!D$36</f>
        <v>14.75789056</v>
      </c>
    </row>
    <row r="50" customFormat="false" ht="15" hidden="false" customHeight="false" outlineLevel="0" collapsed="false">
      <c r="B50" s="17" t="s">
        <v>59</v>
      </c>
      <c r="C50" s="18" t="n">
        <f aca="false">C46+C49</f>
        <v>25</v>
      </c>
      <c r="D50" s="18" t="n">
        <f aca="false">D46+D49</f>
        <v>33.005</v>
      </c>
      <c r="E50" s="18" t="n">
        <f aca="false">E46+E49</f>
        <v>42.5914</v>
      </c>
      <c r="F50" s="18" t="n">
        <f aca="false">F46+F49</f>
        <v>53.990822</v>
      </c>
      <c r="G50" s="18" t="n">
        <f aca="false">G46+G49</f>
        <v>67.46549056</v>
      </c>
    </row>
    <row r="51" customFormat="false" ht="15" hidden="false" customHeight="false" outlineLevel="0" collapsed="false">
      <c r="B51" s="17" t="s">
        <v>60</v>
      </c>
      <c r="C51" s="18" t="n">
        <f aca="false">C50</f>
        <v>25</v>
      </c>
      <c r="D51" s="18" t="n">
        <f aca="false">C51*Assumptions!$C$23+D50</f>
        <v>55.505</v>
      </c>
      <c r="E51" s="18" t="n">
        <f aca="false">D51*Assumptions!$C$23+E50</f>
        <v>92.5459</v>
      </c>
      <c r="F51" s="18" t="n">
        <f aca="false">E51*Assumptions!$C$23+F50</f>
        <v>137.282132</v>
      </c>
      <c r="G51" s="18" t="n">
        <f aca="false">F51*Assumptions!$C$23+G50</f>
        <v>191.01940936</v>
      </c>
    </row>
    <row r="52" customFormat="false" ht="15" hidden="false" customHeight="false" outlineLevel="0" collapsed="false">
      <c r="B52" s="17" t="s">
        <v>61</v>
      </c>
      <c r="C52" s="18" t="n">
        <f aca="false">C51*Assumptions!D$31</f>
        <v>15</v>
      </c>
      <c r="D52" s="18" t="n">
        <f aca="false">D51*Assumptions!D$31</f>
        <v>33.303</v>
      </c>
      <c r="E52" s="18" t="n">
        <f aca="false">E51*Assumptions!D$31</f>
        <v>55.52754</v>
      </c>
      <c r="F52" s="18" t="n">
        <f aca="false">F51*Assumptions!D$31</f>
        <v>82.3692792</v>
      </c>
      <c r="G52" s="18" t="n">
        <f aca="false">G51*Assumptions!D$31</f>
        <v>114.611645616</v>
      </c>
    </row>
    <row r="53" customFormat="false" ht="15" hidden="false" customHeight="false" outlineLevel="0" collapsed="false">
      <c r="B53" s="17" t="s">
        <v>62</v>
      </c>
      <c r="C53" s="18" t="n">
        <f aca="false">Assumptions!D$32</f>
        <v>3</v>
      </c>
      <c r="D53" s="18" t="n">
        <f aca="false">Assumptions!D$32+(Assumptions!D$33-Assumptions!D$32)*1/4</f>
        <v>7.25</v>
      </c>
      <c r="E53" s="18" t="n">
        <f aca="false">Assumptions!D$32+(Assumptions!D$33-Assumptions!D$32)*2/4</f>
        <v>11.5</v>
      </c>
      <c r="F53" s="18" t="n">
        <f aca="false">Assumptions!D$32+(Assumptions!D$33-Assumptions!D$32)*3/4</f>
        <v>15.75</v>
      </c>
      <c r="G53" s="18" t="n">
        <f aca="false">Assumptions!D$33</f>
        <v>20</v>
      </c>
    </row>
    <row r="54" customFormat="false" ht="15" hidden="false" customHeight="false" outlineLevel="0" collapsed="false">
      <c r="B54" s="17" t="s">
        <v>63</v>
      </c>
      <c r="C54" s="20" t="n">
        <f aca="false">C50*Assumptions!$C$13</f>
        <v>50000</v>
      </c>
      <c r="D54" s="20" t="n">
        <f aca="false">D50*Assumptions!$C$13</f>
        <v>66010</v>
      </c>
      <c r="E54" s="20" t="n">
        <f aca="false">E50*Assumptions!$C$13</f>
        <v>85182.8</v>
      </c>
      <c r="F54" s="20" t="n">
        <f aca="false">F50*Assumptions!$C$13</f>
        <v>107981.644</v>
      </c>
      <c r="G54" s="20" t="n">
        <f aca="false">G50*Assumptions!$C$13</f>
        <v>134930.98112</v>
      </c>
    </row>
    <row r="55" customFormat="false" ht="15" hidden="false" customHeight="false" outlineLevel="0" collapsed="false">
      <c r="B55" s="17" t="s">
        <v>64</v>
      </c>
      <c r="C55" s="20" t="n">
        <f aca="false">C52*Assumptions!$C$14</f>
        <v>7500</v>
      </c>
      <c r="D55" s="20" t="n">
        <f aca="false">D52*Assumptions!$C$14</f>
        <v>16651.5</v>
      </c>
      <c r="E55" s="20" t="n">
        <f aca="false">E52*Assumptions!$C$14</f>
        <v>27763.77</v>
      </c>
      <c r="F55" s="20" t="n">
        <f aca="false">F52*Assumptions!$C$14</f>
        <v>41184.6396</v>
      </c>
      <c r="G55" s="20" t="n">
        <f aca="false">G52*Assumptions!$C$14</f>
        <v>57305.822808</v>
      </c>
    </row>
    <row r="56" customFormat="false" ht="15" hidden="false" customHeight="false" outlineLevel="0" collapsed="false">
      <c r="B56" s="17" t="s">
        <v>65</v>
      </c>
      <c r="C56" s="20" t="n">
        <f aca="false">C53*Assumptions!$C$15</f>
        <v>108000</v>
      </c>
      <c r="D56" s="20" t="n">
        <f aca="false">D53*Assumptions!$C$15</f>
        <v>261000</v>
      </c>
      <c r="E56" s="20" t="n">
        <f aca="false">E53*Assumptions!$C$15</f>
        <v>414000</v>
      </c>
      <c r="F56" s="20" t="n">
        <f aca="false">F53*Assumptions!$C$15</f>
        <v>567000</v>
      </c>
      <c r="G56" s="20" t="n">
        <f aca="false">G53*Assumptions!$C$15</f>
        <v>720000</v>
      </c>
    </row>
    <row r="57" customFormat="false" ht="15" hidden="false" customHeight="false" outlineLevel="0" collapsed="false">
      <c r="B57" s="17" t="s">
        <v>66</v>
      </c>
      <c r="C57" s="20" t="n">
        <f aca="false">C51*Assumptions!$C$16</f>
        <v>15000</v>
      </c>
      <c r="D57" s="20" t="n">
        <f aca="false">D51*Assumptions!$C$16</f>
        <v>33303</v>
      </c>
      <c r="E57" s="20" t="n">
        <f aca="false">E51*Assumptions!$C$16</f>
        <v>55527.54</v>
      </c>
      <c r="F57" s="20" t="n">
        <f aca="false">F51*Assumptions!$C$16</f>
        <v>82369.2792</v>
      </c>
      <c r="G57" s="20" t="n">
        <f aca="false">G51*Assumptions!$C$16</f>
        <v>114611.645616</v>
      </c>
    </row>
    <row r="58" customFormat="false" ht="15" hidden="false" customHeight="false" outlineLevel="0" collapsed="false">
      <c r="B58" s="21" t="s">
        <v>67</v>
      </c>
      <c r="C58" s="20" t="n">
        <f aca="false">SUM(C54:C57)</f>
        <v>180500</v>
      </c>
      <c r="D58" s="20" t="n">
        <f aca="false">SUM(D54:D57)</f>
        <v>376964.5</v>
      </c>
      <c r="E58" s="20" t="n">
        <f aca="false">SUM(E54:E57)</f>
        <v>582474.11</v>
      </c>
      <c r="F58" s="20" t="n">
        <f aca="false">SUM(F54:F57)</f>
        <v>798535.5628</v>
      </c>
      <c r="G58" s="20" t="n">
        <f aca="false">SUM(G54:G57)</f>
        <v>1026848.449544</v>
      </c>
    </row>
    <row r="59" customFormat="false" ht="15" hidden="false" customHeight="false" outlineLevel="0" collapsed="false">
      <c r="B59" s="17" t="s">
        <v>68</v>
      </c>
      <c r="C59" s="20" t="n">
        <f aca="false">C50*Assumptions!$C$21+C52*Assumptions!$C$22</f>
        <v>2950</v>
      </c>
      <c r="D59" s="20" t="n">
        <f aca="false">D50*Assumptions!$C$21+D52*Assumptions!$C$22</f>
        <v>4299.59</v>
      </c>
      <c r="E59" s="20" t="n">
        <f aca="false">E50*Assumptions!$C$21+E52*Assumptions!$C$22</f>
        <v>5924.9662</v>
      </c>
      <c r="F59" s="20" t="n">
        <f aca="false">F50*Assumptions!$C$21+F52*Assumptions!$C$22</f>
        <v>7870.160576</v>
      </c>
      <c r="G59" s="20" t="n">
        <f aca="false">G50*Assumptions!$C$21+G52*Assumptions!$C$22</f>
        <v>10184.89842448</v>
      </c>
    </row>
    <row r="60" customFormat="false" ht="15" hidden="false" customHeight="false" outlineLevel="0" collapsed="false">
      <c r="B60" s="17" t="s">
        <v>69</v>
      </c>
      <c r="C60" s="20" t="n">
        <f aca="false">C58-C59</f>
        <v>177550</v>
      </c>
      <c r="D60" s="20" t="n">
        <f aca="false">D58-D59</f>
        <v>372664.91</v>
      </c>
      <c r="E60" s="20" t="n">
        <f aca="false">E58-E59</f>
        <v>576549.1438</v>
      </c>
      <c r="F60" s="20" t="n">
        <f aca="false">F58-F59</f>
        <v>790665.402224</v>
      </c>
      <c r="G60" s="20" t="n">
        <f aca="false">G58-G59</f>
        <v>1016663.55111952</v>
      </c>
    </row>
    <row r="61" customFormat="false" ht="15" hidden="false" customHeight="false" outlineLevel="0" collapsed="false">
      <c r="B61" s="17" t="s">
        <v>70</v>
      </c>
      <c r="C61" s="20" t="n">
        <f aca="false">Assumptions!$C$19</f>
        <v>450000</v>
      </c>
      <c r="D61" s="20" t="n">
        <f aca="false">C61*(1+Assumptions!$C$20)</f>
        <v>504000</v>
      </c>
      <c r="E61" s="20" t="n">
        <f aca="false">D61*(1+Assumptions!$C$20)</f>
        <v>564480</v>
      </c>
      <c r="F61" s="20" t="n">
        <f aca="false">E61*(1+Assumptions!$C$20)</f>
        <v>632217.6</v>
      </c>
      <c r="G61" s="20" t="n">
        <f aca="false">F61*(1+Assumptions!$C$20)</f>
        <v>708083.712</v>
      </c>
    </row>
    <row r="62" customFormat="false" ht="15" hidden="false" customHeight="false" outlineLevel="0" collapsed="false">
      <c r="B62" s="21" t="s">
        <v>71</v>
      </c>
      <c r="C62" s="20" t="n">
        <f aca="false">C60-C61</f>
        <v>-272450</v>
      </c>
      <c r="D62" s="20" t="n">
        <f aca="false">D60-D61</f>
        <v>-131335.09</v>
      </c>
      <c r="E62" s="20" t="n">
        <f aca="false">E60-E61</f>
        <v>12069.1438</v>
      </c>
      <c r="F62" s="20" t="n">
        <f aca="false">F60-F61</f>
        <v>158447.802224</v>
      </c>
      <c r="G62" s="20" t="n">
        <f aca="false">G60-G61</f>
        <v>308579.83911952</v>
      </c>
    </row>
    <row r="63" customFormat="false" ht="15" hidden="false" customHeight="false" outlineLevel="0" collapsed="false">
      <c r="B63" s="17" t="s">
        <v>72</v>
      </c>
      <c r="C63" s="19" t="n">
        <f aca="false">IF(C58=0,0,C62/C58)</f>
        <v>-1.50941828254848</v>
      </c>
      <c r="D63" s="19" t="n">
        <f aca="false">IF(D58=0,0,D62/D58)</f>
        <v>-0.348401746053011</v>
      </c>
      <c r="E63" s="19" t="n">
        <f aca="false">IF(E58=0,0,E62/E58)</f>
        <v>0.0207204811214699</v>
      </c>
      <c r="F63" s="19" t="n">
        <f aca="false">IF(F58=0,0,F62/F58)</f>
        <v>0.198422975262887</v>
      </c>
      <c r="G63" s="19" t="n">
        <f aca="false">IF(G58=0,0,G62/G58)</f>
        <v>0.300511569410806</v>
      </c>
    </row>
    <row r="66" customFormat="false" ht="15" hidden="false" customHeight="false" outlineLevel="0" collapsed="false">
      <c r="B66" s="26" t="s">
        <v>88</v>
      </c>
    </row>
    <row r="67" customFormat="false" ht="15" hidden="false" customHeight="false" outlineLevel="0" collapsed="false">
      <c r="C67" s="12" t="s">
        <v>48</v>
      </c>
      <c r="D67" s="12" t="s">
        <v>49</v>
      </c>
      <c r="E67" s="12" t="s">
        <v>50</v>
      </c>
      <c r="F67" s="12" t="s">
        <v>51</v>
      </c>
      <c r="G67" s="12" t="s">
        <v>52</v>
      </c>
    </row>
    <row r="68" customFormat="false" ht="15" hidden="false" customHeight="false" outlineLevel="0" collapsed="false">
      <c r="B68" s="17" t="s">
        <v>53</v>
      </c>
      <c r="C68" s="18" t="n">
        <f aca="false">Assumptions!E$27</f>
        <v>250</v>
      </c>
      <c r="D68" s="18" t="n">
        <f aca="false">C68*(1+Assumptions!E$28)</f>
        <v>262.5</v>
      </c>
      <c r="E68" s="18" t="n">
        <f aca="false">D68*(1+Assumptions!E$28)</f>
        <v>275.625</v>
      </c>
      <c r="F68" s="18" t="n">
        <f aca="false">E68*(1+Assumptions!E$28)</f>
        <v>289.40625</v>
      </c>
      <c r="G68" s="18" t="n">
        <f aca="false">F68*(1+Assumptions!E$28)</f>
        <v>303.8765625</v>
      </c>
    </row>
    <row r="69" customFormat="false" ht="15" hidden="false" customHeight="false" outlineLevel="0" collapsed="false">
      <c r="B69" s="17" t="s">
        <v>54</v>
      </c>
      <c r="C69" s="19" t="n">
        <f aca="false">Assumptions!E$29</f>
        <v>0.02</v>
      </c>
      <c r="D69" s="19" t="n">
        <f aca="false">Assumptions!E$29+(Assumptions!E$30-Assumptions!E$29)*1/4</f>
        <v>0.03</v>
      </c>
      <c r="E69" s="19" t="n">
        <f aca="false">Assumptions!E$29+(Assumptions!E$30-Assumptions!E$29)*2/4</f>
        <v>0.04</v>
      </c>
      <c r="F69" s="19" t="n">
        <f aca="false">Assumptions!E$29+(Assumptions!E$30-Assumptions!E$29)*3/4</f>
        <v>0.05</v>
      </c>
      <c r="G69" s="19" t="n">
        <f aca="false">Assumptions!E$30</f>
        <v>0.06</v>
      </c>
    </row>
    <row r="70" customFormat="false" ht="15" hidden="false" customHeight="false" outlineLevel="0" collapsed="false">
      <c r="B70" s="17" t="s">
        <v>55</v>
      </c>
      <c r="C70" s="18" t="n">
        <f aca="false">C68*C69</f>
        <v>5</v>
      </c>
      <c r="D70" s="18" t="n">
        <f aca="false">D68*D69</f>
        <v>7.875</v>
      </c>
      <c r="E70" s="18" t="n">
        <f aca="false">E68*E69</f>
        <v>11.025</v>
      </c>
      <c r="F70" s="18" t="n">
        <f aca="false">F68*F69</f>
        <v>14.4703125</v>
      </c>
      <c r="G70" s="18" t="n">
        <f aca="false">G68*G69</f>
        <v>18.23259375</v>
      </c>
    </row>
    <row r="71" customFormat="false" ht="15" hidden="false" customHeight="false" outlineLevel="0" collapsed="false">
      <c r="B71" s="17" t="s">
        <v>56</v>
      </c>
      <c r="C71" s="18" t="n">
        <f aca="false">Assumptions!E$34</f>
        <v>8000</v>
      </c>
      <c r="D71" s="18" t="n">
        <f aca="false">C71-C72</f>
        <v>7920</v>
      </c>
      <c r="E71" s="18" t="n">
        <f aca="false">D71-D72</f>
        <v>7840.8</v>
      </c>
      <c r="F71" s="18" t="n">
        <f aca="false">E71-E72</f>
        <v>7762.392</v>
      </c>
      <c r="G71" s="18" t="n">
        <f aca="false">F71-F72</f>
        <v>7684.76808</v>
      </c>
    </row>
    <row r="72" customFormat="false" ht="15" hidden="false" customHeight="false" outlineLevel="0" collapsed="false">
      <c r="B72" s="17" t="s">
        <v>57</v>
      </c>
      <c r="C72" s="18" t="n">
        <f aca="false">C71*Assumptions!E$35*Assumptions!$B$10</f>
        <v>80</v>
      </c>
      <c r="D72" s="18" t="n">
        <f aca="false">D71*Assumptions!E$35*Assumptions!$B$10</f>
        <v>79.2</v>
      </c>
      <c r="E72" s="18" t="n">
        <f aca="false">E71*Assumptions!E$35*Assumptions!$B$10</f>
        <v>78.408</v>
      </c>
      <c r="F72" s="18" t="n">
        <f aca="false">F71*Assumptions!E$35*Assumptions!$B$10</f>
        <v>77.62392</v>
      </c>
      <c r="G72" s="18" t="n">
        <f aca="false">G71*Assumptions!E$35*Assumptions!$B$10</f>
        <v>76.8476808</v>
      </c>
    </row>
    <row r="73" customFormat="false" ht="15" hidden="false" customHeight="false" outlineLevel="0" collapsed="false">
      <c r="B73" s="17" t="s">
        <v>58</v>
      </c>
      <c r="C73" s="18" t="n">
        <f aca="false">C72*Assumptions!E$36</f>
        <v>3.2</v>
      </c>
      <c r="D73" s="18" t="n">
        <f aca="false">D72*Assumptions!E$36</f>
        <v>3.168</v>
      </c>
      <c r="E73" s="18" t="n">
        <f aca="false">E72*Assumptions!E$36</f>
        <v>3.13632</v>
      </c>
      <c r="F73" s="18" t="n">
        <f aca="false">F72*Assumptions!E$36</f>
        <v>3.1049568</v>
      </c>
      <c r="G73" s="18" t="n">
        <f aca="false">G72*Assumptions!E$36</f>
        <v>3.073907232</v>
      </c>
    </row>
    <row r="74" customFormat="false" ht="15" hidden="false" customHeight="false" outlineLevel="0" collapsed="false">
      <c r="B74" s="17" t="s">
        <v>59</v>
      </c>
      <c r="C74" s="18" t="n">
        <f aca="false">C70+C73</f>
        <v>8.2</v>
      </c>
      <c r="D74" s="18" t="n">
        <f aca="false">D70+D73</f>
        <v>11.043</v>
      </c>
      <c r="E74" s="18" t="n">
        <f aca="false">E70+E73</f>
        <v>14.16132</v>
      </c>
      <c r="F74" s="18" t="n">
        <f aca="false">F70+F73</f>
        <v>17.5752693</v>
      </c>
      <c r="G74" s="18" t="n">
        <f aca="false">G70+G73</f>
        <v>21.306500982</v>
      </c>
    </row>
    <row r="75" customFormat="false" ht="15" hidden="false" customHeight="false" outlineLevel="0" collapsed="false">
      <c r="B75" s="17" t="s">
        <v>60</v>
      </c>
      <c r="C75" s="18" t="n">
        <f aca="false">C74</f>
        <v>8.2</v>
      </c>
      <c r="D75" s="18" t="n">
        <f aca="false">C75*Assumptions!$C$23+D74</f>
        <v>18.423</v>
      </c>
      <c r="E75" s="18" t="n">
        <f aca="false">D75*Assumptions!$C$23+E74</f>
        <v>30.74202</v>
      </c>
      <c r="F75" s="18" t="n">
        <f aca="false">E75*Assumptions!$C$23+F74</f>
        <v>45.2430873</v>
      </c>
      <c r="G75" s="18" t="n">
        <f aca="false">F75*Assumptions!$C$23+G74</f>
        <v>62.025279552</v>
      </c>
    </row>
    <row r="76" customFormat="false" ht="15" hidden="false" customHeight="false" outlineLevel="0" collapsed="false">
      <c r="B76" s="17" t="s">
        <v>61</v>
      </c>
      <c r="C76" s="18" t="n">
        <f aca="false">C75*Assumptions!E$31</f>
        <v>3.28</v>
      </c>
      <c r="D76" s="18" t="n">
        <f aca="false">D75*Assumptions!E$31</f>
        <v>7.3692</v>
      </c>
      <c r="E76" s="18" t="n">
        <f aca="false">E75*Assumptions!E$31</f>
        <v>12.296808</v>
      </c>
      <c r="F76" s="18" t="n">
        <f aca="false">F75*Assumptions!E$31</f>
        <v>18.09723492</v>
      </c>
      <c r="G76" s="18" t="n">
        <f aca="false">G75*Assumptions!E$31</f>
        <v>24.8101118208</v>
      </c>
    </row>
    <row r="77" customFormat="false" ht="15" hidden="false" customHeight="false" outlineLevel="0" collapsed="false">
      <c r="B77" s="17" t="s">
        <v>62</v>
      </c>
      <c r="C77" s="18" t="n">
        <f aca="false">Assumptions!E$32</f>
        <v>2</v>
      </c>
      <c r="D77" s="18" t="n">
        <f aca="false">Assumptions!E$32+(Assumptions!E$33-Assumptions!E$32)*1/4</f>
        <v>4</v>
      </c>
      <c r="E77" s="18" t="n">
        <f aca="false">Assumptions!E$32+(Assumptions!E$33-Assumptions!E$32)*2/4</f>
        <v>6</v>
      </c>
      <c r="F77" s="18" t="n">
        <f aca="false">Assumptions!E$32+(Assumptions!E$33-Assumptions!E$32)*3/4</f>
        <v>8</v>
      </c>
      <c r="G77" s="18" t="n">
        <f aca="false">Assumptions!E$33</f>
        <v>10</v>
      </c>
    </row>
    <row r="78" customFormat="false" ht="15" hidden="false" customHeight="false" outlineLevel="0" collapsed="false">
      <c r="B78" s="17" t="s">
        <v>63</v>
      </c>
      <c r="C78" s="20" t="n">
        <f aca="false">C74*Assumptions!$C$13</f>
        <v>16400</v>
      </c>
      <c r="D78" s="20" t="n">
        <f aca="false">D74*Assumptions!$C$13</f>
        <v>22086</v>
      </c>
      <c r="E78" s="20" t="n">
        <f aca="false">E74*Assumptions!$C$13</f>
        <v>28322.64</v>
      </c>
      <c r="F78" s="20" t="n">
        <f aca="false">F74*Assumptions!$C$13</f>
        <v>35150.5386</v>
      </c>
      <c r="G78" s="20" t="n">
        <f aca="false">G74*Assumptions!$C$13</f>
        <v>42613.001964</v>
      </c>
    </row>
    <row r="79" customFormat="false" ht="15" hidden="false" customHeight="false" outlineLevel="0" collapsed="false">
      <c r="B79" s="17" t="s">
        <v>64</v>
      </c>
      <c r="C79" s="20" t="n">
        <f aca="false">C76*Assumptions!$C$14</f>
        <v>1640</v>
      </c>
      <c r="D79" s="20" t="n">
        <f aca="false">D76*Assumptions!$C$14</f>
        <v>3684.6</v>
      </c>
      <c r="E79" s="20" t="n">
        <f aca="false">E76*Assumptions!$C$14</f>
        <v>6148.404</v>
      </c>
      <c r="F79" s="20" t="n">
        <f aca="false">F76*Assumptions!$C$14</f>
        <v>9048.61746</v>
      </c>
      <c r="G79" s="20" t="n">
        <f aca="false">G76*Assumptions!$C$14</f>
        <v>12405.0559104</v>
      </c>
    </row>
    <row r="80" customFormat="false" ht="15" hidden="false" customHeight="false" outlineLevel="0" collapsed="false">
      <c r="B80" s="17" t="s">
        <v>65</v>
      </c>
      <c r="C80" s="20" t="n">
        <f aca="false">C77*Assumptions!$C$15</f>
        <v>72000</v>
      </c>
      <c r="D80" s="20" t="n">
        <f aca="false">D77*Assumptions!$C$15</f>
        <v>144000</v>
      </c>
      <c r="E80" s="20" t="n">
        <f aca="false">E77*Assumptions!$C$15</f>
        <v>216000</v>
      </c>
      <c r="F80" s="20" t="n">
        <f aca="false">F77*Assumptions!$C$15</f>
        <v>288000</v>
      </c>
      <c r="G80" s="20" t="n">
        <f aca="false">G77*Assumptions!$C$15</f>
        <v>360000</v>
      </c>
    </row>
    <row r="81" customFormat="false" ht="15" hidden="false" customHeight="false" outlineLevel="0" collapsed="false">
      <c r="B81" s="17" t="s">
        <v>66</v>
      </c>
      <c r="C81" s="20" t="n">
        <f aca="false">C75*Assumptions!$C$16</f>
        <v>4920</v>
      </c>
      <c r="D81" s="20" t="n">
        <f aca="false">D75*Assumptions!$C$16</f>
        <v>11053.8</v>
      </c>
      <c r="E81" s="20" t="n">
        <f aca="false">E75*Assumptions!$C$16</f>
        <v>18445.212</v>
      </c>
      <c r="F81" s="20" t="n">
        <f aca="false">F75*Assumptions!$C$16</f>
        <v>27145.85238</v>
      </c>
      <c r="G81" s="20" t="n">
        <f aca="false">G75*Assumptions!$C$16</f>
        <v>37215.1677312</v>
      </c>
    </row>
    <row r="82" customFormat="false" ht="15" hidden="false" customHeight="false" outlineLevel="0" collapsed="false">
      <c r="B82" s="21" t="s">
        <v>67</v>
      </c>
      <c r="C82" s="20" t="n">
        <f aca="false">SUM(C78:C81)</f>
        <v>94960</v>
      </c>
      <c r="D82" s="20" t="n">
        <f aca="false">SUM(D78:D81)</f>
        <v>180824.4</v>
      </c>
      <c r="E82" s="20" t="n">
        <f aca="false">SUM(E78:E81)</f>
        <v>268916.256</v>
      </c>
      <c r="F82" s="20" t="n">
        <f aca="false">SUM(F78:F81)</f>
        <v>359345.00844</v>
      </c>
      <c r="G82" s="20" t="n">
        <f aca="false">SUM(G78:G81)</f>
        <v>452233.2256056</v>
      </c>
    </row>
    <row r="83" customFormat="false" ht="15" hidden="false" customHeight="false" outlineLevel="0" collapsed="false">
      <c r="B83" s="17" t="s">
        <v>68</v>
      </c>
      <c r="C83" s="20" t="n">
        <f aca="false">C74*Assumptions!$C$21+C76*Assumptions!$C$22</f>
        <v>918.4</v>
      </c>
      <c r="D83" s="20" t="n">
        <f aca="false">D74*Assumptions!$C$21+D76*Assumptions!$C$22</f>
        <v>1325.376</v>
      </c>
      <c r="E83" s="20" t="n">
        <f aca="false">E74*Assumptions!$C$21+E76*Assumptions!$C$22</f>
        <v>1785.03624</v>
      </c>
      <c r="F83" s="20" t="n">
        <f aca="false">F74*Assumptions!$C$21+F76*Assumptions!$C$22</f>
        <v>2300.4439776</v>
      </c>
      <c r="G83" s="20" t="n">
        <f aca="false">G74*Assumptions!$C$21+G76*Assumptions!$C$22</f>
        <v>2874.953452824</v>
      </c>
    </row>
    <row r="84" customFormat="false" ht="15" hidden="false" customHeight="false" outlineLevel="0" collapsed="false">
      <c r="B84" s="17" t="s">
        <v>69</v>
      </c>
      <c r="C84" s="20" t="n">
        <f aca="false">C82-C83</f>
        <v>94041.6</v>
      </c>
      <c r="D84" s="20" t="n">
        <f aca="false">D82-D83</f>
        <v>179499.024</v>
      </c>
      <c r="E84" s="20" t="n">
        <f aca="false">E82-E83</f>
        <v>267131.21976</v>
      </c>
      <c r="F84" s="20" t="n">
        <f aca="false">F82-F83</f>
        <v>357044.5644624</v>
      </c>
      <c r="G84" s="20" t="n">
        <f aca="false">G82-G83</f>
        <v>449358.272152776</v>
      </c>
    </row>
    <row r="85" customFormat="false" ht="15" hidden="false" customHeight="false" outlineLevel="0" collapsed="false">
      <c r="B85" s="17" t="s">
        <v>70</v>
      </c>
      <c r="C85" s="20" t="n">
        <f aca="false">Assumptions!$C$19</f>
        <v>450000</v>
      </c>
      <c r="D85" s="20" t="n">
        <f aca="false">C85*(1+Assumptions!$C$20)</f>
        <v>504000</v>
      </c>
      <c r="E85" s="20" t="n">
        <f aca="false">D85*(1+Assumptions!$C$20)</f>
        <v>564480</v>
      </c>
      <c r="F85" s="20" t="n">
        <f aca="false">E85*(1+Assumptions!$C$20)</f>
        <v>632217.6</v>
      </c>
      <c r="G85" s="20" t="n">
        <f aca="false">F85*(1+Assumptions!$C$20)</f>
        <v>708083.712</v>
      </c>
    </row>
    <row r="86" customFormat="false" ht="15" hidden="false" customHeight="false" outlineLevel="0" collapsed="false">
      <c r="B86" s="21" t="s">
        <v>71</v>
      </c>
      <c r="C86" s="20" t="n">
        <f aca="false">C84-C85</f>
        <v>-355958.4</v>
      </c>
      <c r="D86" s="20" t="n">
        <f aca="false">D84-D85</f>
        <v>-324500.976</v>
      </c>
      <c r="E86" s="20" t="n">
        <f aca="false">E84-E85</f>
        <v>-297348.78024</v>
      </c>
      <c r="F86" s="20" t="n">
        <f aca="false">F84-F85</f>
        <v>-275173.0355376</v>
      </c>
      <c r="G86" s="20" t="n">
        <f aca="false">G84-G85</f>
        <v>-258725.439847224</v>
      </c>
    </row>
    <row r="87" customFormat="false" ht="15" hidden="false" customHeight="false" outlineLevel="0" collapsed="false">
      <c r="B87" s="17" t="s">
        <v>72</v>
      </c>
      <c r="C87" s="19" t="n">
        <f aca="false">IF(C82=0,0,C86/C82)</f>
        <v>-3.74850884582982</v>
      </c>
      <c r="D87" s="19" t="n">
        <f aca="false">IF(D82=0,0,D86/D82)</f>
        <v>-1.79456409643831</v>
      </c>
      <c r="E87" s="19" t="n">
        <f aca="false">IF(E82=0,0,E86/E82)</f>
        <v>-1.10573003158277</v>
      </c>
      <c r="F87" s="19" t="n">
        <f aca="false">IF(F82=0,0,F86/F82)</f>
        <v>-0.765762788057611</v>
      </c>
      <c r="G87" s="19" t="n">
        <f aca="false">IF(G82=0,0,G86/G82)</f>
        <v>-0.572106216876827</v>
      </c>
    </row>
    <row r="90" customFormat="false" ht="15" hidden="false" customHeight="false" outlineLevel="0" collapsed="false">
      <c r="B90" s="26" t="s">
        <v>89</v>
      </c>
    </row>
    <row r="91" customFormat="false" ht="15" hidden="false" customHeight="false" outlineLevel="0" collapsed="false">
      <c r="C91" s="12" t="s">
        <v>48</v>
      </c>
      <c r="D91" s="12" t="s">
        <v>49</v>
      </c>
      <c r="E91" s="12" t="s">
        <v>50</v>
      </c>
      <c r="F91" s="12" t="s">
        <v>51</v>
      </c>
      <c r="G91" s="12" t="s">
        <v>52</v>
      </c>
    </row>
    <row r="92" customFormat="false" ht="15" hidden="false" customHeight="false" outlineLevel="0" collapsed="false">
      <c r="B92" s="17" t="s">
        <v>53</v>
      </c>
      <c r="C92" s="18" t="n">
        <f aca="false">Assumptions!D$27</f>
        <v>300</v>
      </c>
      <c r="D92" s="18" t="n">
        <f aca="false">C92*(1+Assumptions!D$28)</f>
        <v>330</v>
      </c>
      <c r="E92" s="18" t="n">
        <f aca="false">D92*(1+Assumptions!D$28)</f>
        <v>363</v>
      </c>
      <c r="F92" s="18" t="n">
        <f aca="false">E92*(1+Assumptions!D$28)</f>
        <v>399.3</v>
      </c>
      <c r="G92" s="18" t="n">
        <f aca="false">F92*(1+Assumptions!D$28)</f>
        <v>439.23</v>
      </c>
    </row>
    <row r="93" customFormat="false" ht="15" hidden="false" customHeight="false" outlineLevel="0" collapsed="false">
      <c r="B93" s="17" t="s">
        <v>54</v>
      </c>
      <c r="C93" s="19" t="n">
        <f aca="false">Assumptions!D$29</f>
        <v>0.03</v>
      </c>
      <c r="D93" s="19" t="n">
        <f aca="false">Assumptions!D$29+(Assumptions!D$30-Assumptions!D$29)*1/4</f>
        <v>0.0525</v>
      </c>
      <c r="E93" s="19" t="n">
        <f aca="false">Assumptions!D$29+(Assumptions!D$30-Assumptions!D$29)*2/4</f>
        <v>0.075</v>
      </c>
      <c r="F93" s="19" t="n">
        <f aca="false">Assumptions!D$29+(Assumptions!D$30-Assumptions!D$29)*3/4</f>
        <v>0.0975</v>
      </c>
      <c r="G93" s="19" t="n">
        <f aca="false">Assumptions!D$30</f>
        <v>0.12</v>
      </c>
    </row>
    <row r="94" customFormat="false" ht="15" hidden="false" customHeight="false" outlineLevel="0" collapsed="false">
      <c r="B94" s="17" t="s">
        <v>55</v>
      </c>
      <c r="C94" s="18" t="n">
        <f aca="false">C92*C93</f>
        <v>9</v>
      </c>
      <c r="D94" s="18" t="n">
        <f aca="false">D92*D93</f>
        <v>17.325</v>
      </c>
      <c r="E94" s="18" t="n">
        <f aca="false">E92*E93</f>
        <v>27.225</v>
      </c>
      <c r="F94" s="18" t="n">
        <f aca="false">F92*F93</f>
        <v>38.93175</v>
      </c>
      <c r="G94" s="18" t="n">
        <f aca="false">G92*G93</f>
        <v>52.7076</v>
      </c>
    </row>
    <row r="95" customFormat="false" ht="15" hidden="false" customHeight="false" outlineLevel="0" collapsed="false">
      <c r="B95" s="17" t="s">
        <v>56</v>
      </c>
      <c r="C95" s="18" t="n">
        <f aca="false">Assumptions!D$34</f>
        <v>10000</v>
      </c>
      <c r="D95" s="18" t="n">
        <f aca="false">C95-C96</f>
        <v>9800</v>
      </c>
      <c r="E95" s="18" t="n">
        <f aca="false">D95-D96</f>
        <v>9604</v>
      </c>
      <c r="F95" s="18" t="n">
        <f aca="false">E95-E96</f>
        <v>9411.92</v>
      </c>
      <c r="G95" s="18" t="n">
        <f aca="false">F95-F96</f>
        <v>9223.6816</v>
      </c>
    </row>
    <row r="96" customFormat="false" ht="15" hidden="false" customHeight="false" outlineLevel="0" collapsed="false">
      <c r="B96" s="17" t="s">
        <v>57</v>
      </c>
      <c r="C96" s="18" t="n">
        <f aca="false">C95*Assumptions!D$35*1</f>
        <v>200</v>
      </c>
      <c r="D96" s="18" t="n">
        <f aca="false">D95*Assumptions!D$35*1</f>
        <v>196</v>
      </c>
      <c r="E96" s="18" t="n">
        <f aca="false">E95*Assumptions!D$35*1</f>
        <v>192.08</v>
      </c>
      <c r="F96" s="18" t="n">
        <f aca="false">F95*Assumptions!D$35*1</f>
        <v>188.2384</v>
      </c>
      <c r="G96" s="18" t="n">
        <f aca="false">G95*Assumptions!D$35*1</f>
        <v>184.473632</v>
      </c>
    </row>
    <row r="97" customFormat="false" ht="15" hidden="false" customHeight="false" outlineLevel="0" collapsed="false">
      <c r="B97" s="17" t="s">
        <v>58</v>
      </c>
      <c r="C97" s="18" t="n">
        <f aca="false">C96*Assumptions!D$36</f>
        <v>16</v>
      </c>
      <c r="D97" s="18" t="n">
        <f aca="false">D96*Assumptions!D$36</f>
        <v>15.68</v>
      </c>
      <c r="E97" s="18" t="n">
        <f aca="false">E96*Assumptions!D$36</f>
        <v>15.3664</v>
      </c>
      <c r="F97" s="18" t="n">
        <f aca="false">F96*Assumptions!D$36</f>
        <v>15.059072</v>
      </c>
      <c r="G97" s="18" t="n">
        <f aca="false">G96*Assumptions!D$36</f>
        <v>14.75789056</v>
      </c>
    </row>
    <row r="98" customFormat="false" ht="15" hidden="false" customHeight="false" outlineLevel="0" collapsed="false">
      <c r="B98" s="17" t="s">
        <v>59</v>
      </c>
      <c r="C98" s="18" t="n">
        <f aca="false">C94+C97</f>
        <v>25</v>
      </c>
      <c r="D98" s="18" t="n">
        <f aca="false">D94+D97</f>
        <v>33.005</v>
      </c>
      <c r="E98" s="18" t="n">
        <f aca="false">E94+E97</f>
        <v>42.5914</v>
      </c>
      <c r="F98" s="18" t="n">
        <f aca="false">F94+F97</f>
        <v>53.990822</v>
      </c>
      <c r="G98" s="18" t="n">
        <f aca="false">G94+G97</f>
        <v>67.46549056</v>
      </c>
    </row>
    <row r="99" customFormat="false" ht="15" hidden="false" customHeight="false" outlineLevel="0" collapsed="false">
      <c r="B99" s="17" t="s">
        <v>60</v>
      </c>
      <c r="C99" s="18" t="n">
        <f aca="false">C98</f>
        <v>25</v>
      </c>
      <c r="D99" s="18" t="n">
        <f aca="false">C99*Assumptions!$C$23+D98</f>
        <v>55.505</v>
      </c>
      <c r="E99" s="18" t="n">
        <f aca="false">D99*Assumptions!$C$23+E98</f>
        <v>92.5459</v>
      </c>
      <c r="F99" s="18" t="n">
        <f aca="false">E99*Assumptions!$C$23+F98</f>
        <v>137.282132</v>
      </c>
      <c r="G99" s="18" t="n">
        <f aca="false">F99*Assumptions!$C$23+G98</f>
        <v>191.01940936</v>
      </c>
    </row>
    <row r="100" customFormat="false" ht="15" hidden="false" customHeight="false" outlineLevel="0" collapsed="false">
      <c r="B100" s="17" t="s">
        <v>61</v>
      </c>
      <c r="C100" s="18" t="n">
        <f aca="false">C99*Assumptions!D$31</f>
        <v>15</v>
      </c>
      <c r="D100" s="18" t="n">
        <f aca="false">D99*Assumptions!D$31</f>
        <v>33.303</v>
      </c>
      <c r="E100" s="18" t="n">
        <f aca="false">E99*Assumptions!D$31</f>
        <v>55.52754</v>
      </c>
      <c r="F100" s="18" t="n">
        <f aca="false">F99*Assumptions!D$31</f>
        <v>82.3692792</v>
      </c>
      <c r="G100" s="18" t="n">
        <f aca="false">G99*Assumptions!D$31</f>
        <v>114.611645616</v>
      </c>
    </row>
    <row r="101" customFormat="false" ht="15" hidden="false" customHeight="false" outlineLevel="0" collapsed="false">
      <c r="B101" s="17" t="s">
        <v>62</v>
      </c>
      <c r="C101" s="18" t="n">
        <f aca="false">Assumptions!D$32</f>
        <v>3</v>
      </c>
      <c r="D101" s="18" t="n">
        <f aca="false">Assumptions!D$32+(Assumptions!D$33-Assumptions!D$32)*1/4</f>
        <v>7.25</v>
      </c>
      <c r="E101" s="18" t="n">
        <f aca="false">Assumptions!D$32+(Assumptions!D$33-Assumptions!D$32)*2/4</f>
        <v>11.5</v>
      </c>
      <c r="F101" s="18" t="n">
        <f aca="false">Assumptions!D$32+(Assumptions!D$33-Assumptions!D$32)*3/4</f>
        <v>15.75</v>
      </c>
      <c r="G101" s="18" t="n">
        <f aca="false">Assumptions!D$33</f>
        <v>20</v>
      </c>
    </row>
    <row r="102" customFormat="false" ht="15" hidden="false" customHeight="false" outlineLevel="0" collapsed="false">
      <c r="B102" s="17" t="s">
        <v>63</v>
      </c>
      <c r="C102" s="20" t="n">
        <f aca="false">C98*Assumptions!$C$13</f>
        <v>50000</v>
      </c>
      <c r="D102" s="20" t="n">
        <f aca="false">D98*Assumptions!$C$13</f>
        <v>66010</v>
      </c>
      <c r="E102" s="20" t="n">
        <f aca="false">E98*Assumptions!$C$13</f>
        <v>85182.8</v>
      </c>
      <c r="F102" s="20" t="n">
        <f aca="false">F98*Assumptions!$C$13</f>
        <v>107981.644</v>
      </c>
      <c r="G102" s="20" t="n">
        <f aca="false">G98*Assumptions!$C$13</f>
        <v>134930.98112</v>
      </c>
    </row>
    <row r="103" customFormat="false" ht="15" hidden="false" customHeight="false" outlineLevel="0" collapsed="false">
      <c r="B103" s="17" t="s">
        <v>64</v>
      </c>
      <c r="C103" s="20" t="n">
        <f aca="false">C100*Assumptions!$C$14</f>
        <v>7500</v>
      </c>
      <c r="D103" s="20" t="n">
        <f aca="false">D100*Assumptions!$C$14</f>
        <v>16651.5</v>
      </c>
      <c r="E103" s="20" t="n">
        <f aca="false">E100*Assumptions!$C$14</f>
        <v>27763.77</v>
      </c>
      <c r="F103" s="20" t="n">
        <f aca="false">F100*Assumptions!$C$14</f>
        <v>41184.6396</v>
      </c>
      <c r="G103" s="20" t="n">
        <f aca="false">G100*Assumptions!$C$14</f>
        <v>57305.822808</v>
      </c>
    </row>
    <row r="104" customFormat="false" ht="15" hidden="false" customHeight="false" outlineLevel="0" collapsed="false">
      <c r="B104" s="17" t="s">
        <v>65</v>
      </c>
      <c r="C104" s="20" t="n">
        <f aca="false">C101*Assumptions!$C$15</f>
        <v>108000</v>
      </c>
      <c r="D104" s="20" t="n">
        <f aca="false">D101*Assumptions!$C$15</f>
        <v>261000</v>
      </c>
      <c r="E104" s="20" t="n">
        <f aca="false">E101*Assumptions!$C$15</f>
        <v>414000</v>
      </c>
      <c r="F104" s="20" t="n">
        <f aca="false">F101*Assumptions!$C$15</f>
        <v>567000</v>
      </c>
      <c r="G104" s="20" t="n">
        <f aca="false">G101*Assumptions!$C$15</f>
        <v>720000</v>
      </c>
    </row>
    <row r="105" customFormat="false" ht="15" hidden="false" customHeight="false" outlineLevel="0" collapsed="false">
      <c r="B105" s="17" t="s">
        <v>66</v>
      </c>
      <c r="C105" s="20" t="n">
        <f aca="false">C99*Assumptions!$C$16</f>
        <v>15000</v>
      </c>
      <c r="D105" s="20" t="n">
        <f aca="false">D99*Assumptions!$C$16</f>
        <v>33303</v>
      </c>
      <c r="E105" s="20" t="n">
        <f aca="false">E99*Assumptions!$C$16</f>
        <v>55527.54</v>
      </c>
      <c r="F105" s="20" t="n">
        <f aca="false">F99*Assumptions!$C$16</f>
        <v>82369.2792</v>
      </c>
      <c r="G105" s="20" t="n">
        <f aca="false">G99*Assumptions!$C$16</f>
        <v>114611.645616</v>
      </c>
    </row>
    <row r="106" customFormat="false" ht="15" hidden="false" customHeight="false" outlineLevel="0" collapsed="false">
      <c r="B106" s="21" t="s">
        <v>67</v>
      </c>
      <c r="C106" s="20" t="n">
        <f aca="false">SUM(C102:C105)</f>
        <v>180500</v>
      </c>
      <c r="D106" s="20" t="n">
        <f aca="false">SUM(D102:D105)</f>
        <v>376964.5</v>
      </c>
      <c r="E106" s="20" t="n">
        <f aca="false">SUM(E102:E105)</f>
        <v>582474.11</v>
      </c>
      <c r="F106" s="20" t="n">
        <f aca="false">SUM(F102:F105)</f>
        <v>798535.5628</v>
      </c>
      <c r="G106" s="20" t="n">
        <f aca="false">SUM(G102:G105)</f>
        <v>1026848.449544</v>
      </c>
    </row>
    <row r="107" customFormat="false" ht="15" hidden="false" customHeight="false" outlineLevel="0" collapsed="false">
      <c r="B107" s="17" t="s">
        <v>68</v>
      </c>
      <c r="C107" s="20" t="n">
        <f aca="false">C98*Assumptions!$C$21+C100*Assumptions!$C$22</f>
        <v>2950</v>
      </c>
      <c r="D107" s="20" t="n">
        <f aca="false">D98*Assumptions!$C$21+D100*Assumptions!$C$22</f>
        <v>4299.59</v>
      </c>
      <c r="E107" s="20" t="n">
        <f aca="false">E98*Assumptions!$C$21+E100*Assumptions!$C$22</f>
        <v>5924.9662</v>
      </c>
      <c r="F107" s="20" t="n">
        <f aca="false">F98*Assumptions!$C$21+F100*Assumptions!$C$22</f>
        <v>7870.160576</v>
      </c>
      <c r="G107" s="20" t="n">
        <f aca="false">G98*Assumptions!$C$21+G100*Assumptions!$C$22</f>
        <v>10184.89842448</v>
      </c>
    </row>
    <row r="108" customFormat="false" ht="15" hidden="false" customHeight="false" outlineLevel="0" collapsed="false">
      <c r="B108" s="17" t="s">
        <v>69</v>
      </c>
      <c r="C108" s="20" t="n">
        <f aca="false">C106-C107</f>
        <v>177550</v>
      </c>
      <c r="D108" s="20" t="n">
        <f aca="false">D106-D107</f>
        <v>372664.91</v>
      </c>
      <c r="E108" s="20" t="n">
        <f aca="false">E106-E107</f>
        <v>576549.1438</v>
      </c>
      <c r="F108" s="20" t="n">
        <f aca="false">F106-F107</f>
        <v>790665.402224</v>
      </c>
      <c r="G108" s="20" t="n">
        <f aca="false">G106-G107</f>
        <v>1016663.55111952</v>
      </c>
    </row>
    <row r="109" customFormat="false" ht="15" hidden="false" customHeight="false" outlineLevel="0" collapsed="false">
      <c r="B109" s="17" t="s">
        <v>70</v>
      </c>
      <c r="C109" s="20" t="n">
        <f aca="false">Assumptions!$C$19</f>
        <v>450000</v>
      </c>
      <c r="D109" s="20" t="n">
        <f aca="false">C109*(1+Assumptions!$C$20)</f>
        <v>504000</v>
      </c>
      <c r="E109" s="20" t="n">
        <f aca="false">D109*(1+Assumptions!$C$20)</f>
        <v>564480</v>
      </c>
      <c r="F109" s="20" t="n">
        <f aca="false">E109*(1+Assumptions!$C$20)</f>
        <v>632217.6</v>
      </c>
      <c r="G109" s="20" t="n">
        <f aca="false">F109*(1+Assumptions!$C$20)</f>
        <v>708083.712</v>
      </c>
    </row>
    <row r="110" customFormat="false" ht="15" hidden="false" customHeight="false" outlineLevel="0" collapsed="false">
      <c r="B110" s="21" t="s">
        <v>71</v>
      </c>
      <c r="C110" s="20" t="n">
        <f aca="false">C108-C109</f>
        <v>-272450</v>
      </c>
      <c r="D110" s="20" t="n">
        <f aca="false">D108-D109</f>
        <v>-131335.09</v>
      </c>
      <c r="E110" s="20" t="n">
        <f aca="false">E108-E109</f>
        <v>12069.1438</v>
      </c>
      <c r="F110" s="20" t="n">
        <f aca="false">F108-F109</f>
        <v>158447.802224</v>
      </c>
      <c r="G110" s="20" t="n">
        <f aca="false">G108-G109</f>
        <v>308579.83911952</v>
      </c>
    </row>
    <row r="111" customFormat="false" ht="15" hidden="false" customHeight="false" outlineLevel="0" collapsed="false">
      <c r="B111" s="17" t="s">
        <v>72</v>
      </c>
      <c r="C111" s="19" t="n">
        <f aca="false">IF(C106=0,0,C110/C106)</f>
        <v>-1.50941828254848</v>
      </c>
      <c r="D111" s="19" t="n">
        <f aca="false">IF(D106=0,0,D110/D106)</f>
        <v>-0.348401746053011</v>
      </c>
      <c r="E111" s="19" t="n">
        <f aca="false">IF(E106=0,0,E110/E106)</f>
        <v>0.0207204811214699</v>
      </c>
      <c r="F111" s="19" t="n">
        <f aca="false">IF(F106=0,0,F110/F106)</f>
        <v>0.198422975262887</v>
      </c>
      <c r="G111" s="19" t="n">
        <f aca="false">IF(G106=0,0,G110/G106)</f>
        <v>0.300511569410806</v>
      </c>
    </row>
    <row r="114" customFormat="false" ht="15" hidden="false" customHeight="false" outlineLevel="0" collapsed="false">
      <c r="B114" s="26" t="s">
        <v>90</v>
      </c>
    </row>
    <row r="115" customFormat="false" ht="15" hidden="false" customHeight="false" outlineLevel="0" collapsed="false">
      <c r="C115" s="12" t="s">
        <v>48</v>
      </c>
      <c r="D115" s="12" t="s">
        <v>49</v>
      </c>
      <c r="E115" s="12" t="s">
        <v>50</v>
      </c>
      <c r="F115" s="12" t="s">
        <v>51</v>
      </c>
      <c r="G115" s="12" t="s">
        <v>52</v>
      </c>
    </row>
    <row r="116" customFormat="false" ht="15" hidden="false" customHeight="false" outlineLevel="0" collapsed="false">
      <c r="B116" s="17" t="s">
        <v>53</v>
      </c>
      <c r="C116" s="18" t="n">
        <f aca="false">Assumptions!D$27</f>
        <v>300</v>
      </c>
      <c r="D116" s="18" t="n">
        <f aca="false">C116*(1+Assumptions!D$28)</f>
        <v>330</v>
      </c>
      <c r="E116" s="18" t="n">
        <f aca="false">D116*(1+Assumptions!D$28)</f>
        <v>363</v>
      </c>
      <c r="F116" s="18" t="n">
        <f aca="false">E116*(1+Assumptions!D$28)</f>
        <v>399.3</v>
      </c>
      <c r="G116" s="18" t="n">
        <f aca="false">F116*(1+Assumptions!D$28)</f>
        <v>439.23</v>
      </c>
    </row>
    <row r="117" customFormat="false" ht="15" hidden="false" customHeight="false" outlineLevel="0" collapsed="false">
      <c r="B117" s="17" t="s">
        <v>54</v>
      </c>
      <c r="C117" s="19" t="n">
        <f aca="false">Assumptions!D$29</f>
        <v>0.03</v>
      </c>
      <c r="D117" s="19" t="n">
        <f aca="false">Assumptions!D$29+(Assumptions!D$30-Assumptions!D$29)*1/4</f>
        <v>0.0525</v>
      </c>
      <c r="E117" s="19" t="n">
        <f aca="false">Assumptions!D$29+(Assumptions!D$30-Assumptions!D$29)*2/4</f>
        <v>0.075</v>
      </c>
      <c r="F117" s="19" t="n">
        <f aca="false">Assumptions!D$29+(Assumptions!D$30-Assumptions!D$29)*3/4</f>
        <v>0.0975</v>
      </c>
      <c r="G117" s="19" t="n">
        <f aca="false">Assumptions!D$30</f>
        <v>0.12</v>
      </c>
    </row>
    <row r="118" customFormat="false" ht="15" hidden="false" customHeight="false" outlineLevel="0" collapsed="false">
      <c r="B118" s="17" t="s">
        <v>55</v>
      </c>
      <c r="C118" s="18" t="n">
        <f aca="false">C116*C117</f>
        <v>9</v>
      </c>
      <c r="D118" s="18" t="n">
        <f aca="false">D116*D117</f>
        <v>17.325</v>
      </c>
      <c r="E118" s="18" t="n">
        <f aca="false">E116*E117</f>
        <v>27.225</v>
      </c>
      <c r="F118" s="18" t="n">
        <f aca="false">F116*F117</f>
        <v>38.93175</v>
      </c>
      <c r="G118" s="18" t="n">
        <f aca="false">G116*G117</f>
        <v>52.7076</v>
      </c>
    </row>
    <row r="119" customFormat="false" ht="15" hidden="false" customHeight="false" outlineLevel="0" collapsed="false">
      <c r="B119" s="17" t="s">
        <v>56</v>
      </c>
      <c r="C119" s="18" t="n">
        <f aca="false">Assumptions!D$34</f>
        <v>10000</v>
      </c>
      <c r="D119" s="18" t="n">
        <f aca="false">C119-C120</f>
        <v>10000</v>
      </c>
      <c r="E119" s="18" t="n">
        <f aca="false">D119-D120</f>
        <v>10000</v>
      </c>
      <c r="F119" s="18" t="n">
        <f aca="false">E119-E120</f>
        <v>10000</v>
      </c>
      <c r="G119" s="18" t="n">
        <f aca="false">F119-F120</f>
        <v>10000</v>
      </c>
    </row>
    <row r="120" customFormat="false" ht="15" hidden="false" customHeight="false" outlineLevel="0" collapsed="false">
      <c r="B120" s="17" t="s">
        <v>57</v>
      </c>
      <c r="C120" s="18" t="n">
        <f aca="false">C119*Assumptions!D$35*0</f>
        <v>0</v>
      </c>
      <c r="D120" s="18" t="n">
        <f aca="false">D119*Assumptions!D$35*0</f>
        <v>0</v>
      </c>
      <c r="E120" s="18" t="n">
        <f aca="false">E119*Assumptions!D$35*0</f>
        <v>0</v>
      </c>
      <c r="F120" s="18" t="n">
        <f aca="false">F119*Assumptions!D$35*0</f>
        <v>0</v>
      </c>
      <c r="G120" s="18" t="n">
        <f aca="false">G119*Assumptions!D$35*0</f>
        <v>0</v>
      </c>
    </row>
    <row r="121" customFormat="false" ht="15" hidden="false" customHeight="false" outlineLevel="0" collapsed="false">
      <c r="B121" s="17" t="s">
        <v>58</v>
      </c>
      <c r="C121" s="18" t="n">
        <f aca="false">C120*Assumptions!D$36</f>
        <v>0</v>
      </c>
      <c r="D121" s="18" t="n">
        <f aca="false">D120*Assumptions!D$36</f>
        <v>0</v>
      </c>
      <c r="E121" s="18" t="n">
        <f aca="false">E120*Assumptions!D$36</f>
        <v>0</v>
      </c>
      <c r="F121" s="18" t="n">
        <f aca="false">F120*Assumptions!D$36</f>
        <v>0</v>
      </c>
      <c r="G121" s="18" t="n">
        <f aca="false">G120*Assumptions!D$36</f>
        <v>0</v>
      </c>
    </row>
    <row r="122" customFormat="false" ht="15" hidden="false" customHeight="false" outlineLevel="0" collapsed="false">
      <c r="B122" s="17" t="s">
        <v>59</v>
      </c>
      <c r="C122" s="18" t="n">
        <f aca="false">C118+C121</f>
        <v>9</v>
      </c>
      <c r="D122" s="18" t="n">
        <f aca="false">D118+D121</f>
        <v>17.325</v>
      </c>
      <c r="E122" s="18" t="n">
        <f aca="false">E118+E121</f>
        <v>27.225</v>
      </c>
      <c r="F122" s="18" t="n">
        <f aca="false">F118+F121</f>
        <v>38.93175</v>
      </c>
      <c r="G122" s="18" t="n">
        <f aca="false">G118+G121</f>
        <v>52.7076</v>
      </c>
    </row>
    <row r="123" customFormat="false" ht="15" hidden="false" customHeight="false" outlineLevel="0" collapsed="false">
      <c r="B123" s="17" t="s">
        <v>60</v>
      </c>
      <c r="C123" s="18" t="n">
        <f aca="false">C122</f>
        <v>9</v>
      </c>
      <c r="D123" s="18" t="n">
        <f aca="false">C123*Assumptions!$C$23+D122</f>
        <v>25.425</v>
      </c>
      <c r="E123" s="18" t="n">
        <f aca="false">D123*Assumptions!$C$23+E122</f>
        <v>50.1075</v>
      </c>
      <c r="F123" s="18" t="n">
        <f aca="false">E123*Assumptions!$C$23+F122</f>
        <v>84.0285</v>
      </c>
      <c r="G123" s="18" t="n">
        <f aca="false">F123*Assumptions!$C$23+G122</f>
        <v>128.33325</v>
      </c>
    </row>
    <row r="124" customFormat="false" ht="15" hidden="false" customHeight="false" outlineLevel="0" collapsed="false">
      <c r="B124" s="17" t="s">
        <v>61</v>
      </c>
      <c r="C124" s="18" t="n">
        <f aca="false">C123*Assumptions!D$31</f>
        <v>5.4</v>
      </c>
      <c r="D124" s="18" t="n">
        <f aca="false">D123*Assumptions!D$31</f>
        <v>15.255</v>
      </c>
      <c r="E124" s="18" t="n">
        <f aca="false">E123*Assumptions!D$31</f>
        <v>30.0645</v>
      </c>
      <c r="F124" s="18" t="n">
        <f aca="false">F123*Assumptions!D$31</f>
        <v>50.4171</v>
      </c>
      <c r="G124" s="18" t="n">
        <f aca="false">G123*Assumptions!D$31</f>
        <v>76.99995</v>
      </c>
    </row>
    <row r="125" customFormat="false" ht="15" hidden="false" customHeight="false" outlineLevel="0" collapsed="false">
      <c r="B125" s="17" t="s">
        <v>62</v>
      </c>
      <c r="C125" s="18" t="n">
        <f aca="false">Assumptions!D$32</f>
        <v>3</v>
      </c>
      <c r="D125" s="18" t="n">
        <f aca="false">Assumptions!D$32+(Assumptions!D$33-Assumptions!D$32)*1/4</f>
        <v>7.25</v>
      </c>
      <c r="E125" s="18" t="n">
        <f aca="false">Assumptions!D$32+(Assumptions!D$33-Assumptions!D$32)*2/4</f>
        <v>11.5</v>
      </c>
      <c r="F125" s="18" t="n">
        <f aca="false">Assumptions!D$32+(Assumptions!D$33-Assumptions!D$32)*3/4</f>
        <v>15.75</v>
      </c>
      <c r="G125" s="18" t="n">
        <f aca="false">Assumptions!D$33</f>
        <v>20</v>
      </c>
    </row>
    <row r="126" customFormat="false" ht="15" hidden="false" customHeight="false" outlineLevel="0" collapsed="false">
      <c r="B126" s="17" t="s">
        <v>63</v>
      </c>
      <c r="C126" s="20" t="n">
        <f aca="false">C122*Assumptions!$C$13</f>
        <v>18000</v>
      </c>
      <c r="D126" s="20" t="n">
        <f aca="false">D122*Assumptions!$C$13</f>
        <v>34650</v>
      </c>
      <c r="E126" s="20" t="n">
        <f aca="false">E122*Assumptions!$C$13</f>
        <v>54450</v>
      </c>
      <c r="F126" s="20" t="n">
        <f aca="false">F122*Assumptions!$C$13</f>
        <v>77863.5</v>
      </c>
      <c r="G126" s="20" t="n">
        <f aca="false">G122*Assumptions!$C$13</f>
        <v>105415.2</v>
      </c>
    </row>
    <row r="127" customFormat="false" ht="15" hidden="false" customHeight="false" outlineLevel="0" collapsed="false">
      <c r="B127" s="17" t="s">
        <v>64</v>
      </c>
      <c r="C127" s="20" t="n">
        <f aca="false">C124*Assumptions!$C$14</f>
        <v>2700</v>
      </c>
      <c r="D127" s="20" t="n">
        <f aca="false">D124*Assumptions!$C$14</f>
        <v>7627.5</v>
      </c>
      <c r="E127" s="20" t="n">
        <f aca="false">E124*Assumptions!$C$14</f>
        <v>15032.25</v>
      </c>
      <c r="F127" s="20" t="n">
        <f aca="false">F124*Assumptions!$C$14</f>
        <v>25208.55</v>
      </c>
      <c r="G127" s="20" t="n">
        <f aca="false">G124*Assumptions!$C$14</f>
        <v>38499.975</v>
      </c>
    </row>
    <row r="128" customFormat="false" ht="15" hidden="false" customHeight="false" outlineLevel="0" collapsed="false">
      <c r="B128" s="17" t="s">
        <v>65</v>
      </c>
      <c r="C128" s="20" t="n">
        <f aca="false">C125*Assumptions!$C$15</f>
        <v>108000</v>
      </c>
      <c r="D128" s="20" t="n">
        <f aca="false">D125*Assumptions!$C$15</f>
        <v>261000</v>
      </c>
      <c r="E128" s="20" t="n">
        <f aca="false">E125*Assumptions!$C$15</f>
        <v>414000</v>
      </c>
      <c r="F128" s="20" t="n">
        <f aca="false">F125*Assumptions!$C$15</f>
        <v>567000</v>
      </c>
      <c r="G128" s="20" t="n">
        <f aca="false">G125*Assumptions!$C$15</f>
        <v>720000</v>
      </c>
    </row>
    <row r="129" customFormat="false" ht="15" hidden="false" customHeight="false" outlineLevel="0" collapsed="false">
      <c r="B129" s="17" t="s">
        <v>66</v>
      </c>
      <c r="C129" s="20" t="n">
        <f aca="false">C123*Assumptions!$C$16</f>
        <v>5400</v>
      </c>
      <c r="D129" s="20" t="n">
        <f aca="false">D123*Assumptions!$C$16</f>
        <v>15255</v>
      </c>
      <c r="E129" s="20" t="n">
        <f aca="false">E123*Assumptions!$C$16</f>
        <v>30064.5</v>
      </c>
      <c r="F129" s="20" t="n">
        <f aca="false">F123*Assumptions!$C$16</f>
        <v>50417.1</v>
      </c>
      <c r="G129" s="20" t="n">
        <f aca="false">G123*Assumptions!$C$16</f>
        <v>76999.95</v>
      </c>
    </row>
    <row r="130" customFormat="false" ht="15" hidden="false" customHeight="false" outlineLevel="0" collapsed="false">
      <c r="B130" s="21" t="s">
        <v>67</v>
      </c>
      <c r="C130" s="20" t="n">
        <f aca="false">SUM(C126:C129)</f>
        <v>134100</v>
      </c>
      <c r="D130" s="20" t="n">
        <f aca="false">SUM(D126:D129)</f>
        <v>318532.5</v>
      </c>
      <c r="E130" s="20" t="n">
        <f aca="false">SUM(E126:E129)</f>
        <v>513546.75</v>
      </c>
      <c r="F130" s="20" t="n">
        <f aca="false">SUM(F126:F129)</f>
        <v>720489.15</v>
      </c>
      <c r="G130" s="20" t="n">
        <f aca="false">SUM(G126:G129)</f>
        <v>940915.125</v>
      </c>
    </row>
    <row r="131" customFormat="false" ht="15" hidden="false" customHeight="false" outlineLevel="0" collapsed="false">
      <c r="B131" s="17" t="s">
        <v>68</v>
      </c>
      <c r="C131" s="20" t="n">
        <f aca="false">C122*Assumptions!$C$21+C124*Assumptions!$C$22</f>
        <v>1062</v>
      </c>
      <c r="D131" s="20" t="n">
        <f aca="false">D122*Assumptions!$C$21+D124*Assumptions!$C$22</f>
        <v>2190.15</v>
      </c>
      <c r="E131" s="20" t="n">
        <f aca="false">E122*Assumptions!$C$21+E124*Assumptions!$C$22</f>
        <v>3624.435</v>
      </c>
      <c r="F131" s="20" t="n">
        <f aca="false">F122*Assumptions!$C$21+F124*Assumptions!$C$22</f>
        <v>5405.688</v>
      </c>
      <c r="G131" s="20" t="n">
        <f aca="false">G122*Assumptions!$C$21+G124*Assumptions!$C$22</f>
        <v>7580.7585</v>
      </c>
    </row>
    <row r="132" customFormat="false" ht="15" hidden="false" customHeight="false" outlineLevel="0" collapsed="false">
      <c r="B132" s="17" t="s">
        <v>69</v>
      </c>
      <c r="C132" s="20" t="n">
        <f aca="false">C130-C131</f>
        <v>133038</v>
      </c>
      <c r="D132" s="20" t="n">
        <f aca="false">D130-D131</f>
        <v>316342.35</v>
      </c>
      <c r="E132" s="20" t="n">
        <f aca="false">E130-E131</f>
        <v>509922.315</v>
      </c>
      <c r="F132" s="20" t="n">
        <f aca="false">F130-F131</f>
        <v>715083.462</v>
      </c>
      <c r="G132" s="20" t="n">
        <f aca="false">G130-G131</f>
        <v>933334.3665</v>
      </c>
    </row>
    <row r="133" customFormat="false" ht="15" hidden="false" customHeight="false" outlineLevel="0" collapsed="false">
      <c r="B133" s="17" t="s">
        <v>70</v>
      </c>
      <c r="C133" s="20" t="n">
        <f aca="false">Assumptions!$C$19</f>
        <v>450000</v>
      </c>
      <c r="D133" s="20" t="n">
        <f aca="false">C133*(1+Assumptions!$C$20)</f>
        <v>504000</v>
      </c>
      <c r="E133" s="20" t="n">
        <f aca="false">D133*(1+Assumptions!$C$20)</f>
        <v>564480</v>
      </c>
      <c r="F133" s="20" t="n">
        <f aca="false">E133*(1+Assumptions!$C$20)</f>
        <v>632217.6</v>
      </c>
      <c r="G133" s="20" t="n">
        <f aca="false">F133*(1+Assumptions!$C$20)</f>
        <v>708083.712</v>
      </c>
    </row>
    <row r="134" customFormat="false" ht="15" hidden="false" customHeight="false" outlineLevel="0" collapsed="false">
      <c r="B134" s="21" t="s">
        <v>71</v>
      </c>
      <c r="C134" s="20" t="n">
        <f aca="false">C132-C133</f>
        <v>-316962</v>
      </c>
      <c r="D134" s="20" t="n">
        <f aca="false">D132-D133</f>
        <v>-187657.65</v>
      </c>
      <c r="E134" s="20" t="n">
        <f aca="false">E132-E133</f>
        <v>-54557.6850000001</v>
      </c>
      <c r="F134" s="20" t="n">
        <f aca="false">F132-F133</f>
        <v>82865.8619999999</v>
      </c>
      <c r="G134" s="20" t="n">
        <f aca="false">G132-G133</f>
        <v>225250.6545</v>
      </c>
    </row>
    <row r="135" customFormat="false" ht="15" hidden="false" customHeight="false" outlineLevel="0" collapsed="false">
      <c r="B135" s="17" t="s">
        <v>72</v>
      </c>
      <c r="C135" s="19" t="n">
        <f aca="false">IF(C130=0,0,C134/C130)</f>
        <v>-2.36362416107383</v>
      </c>
      <c r="D135" s="19" t="n">
        <f aca="false">IF(D130=0,0,D134/D130)</f>
        <v>-0.589131878222788</v>
      </c>
      <c r="E135" s="19" t="n">
        <f aca="false">IF(E130=0,0,E134/E130)</f>
        <v>-0.106237036842313</v>
      </c>
      <c r="F135" s="19" t="n">
        <f aca="false">IF(F130=0,0,F134/F130)</f>
        <v>0.115013337813623</v>
      </c>
      <c r="G135" s="19" t="n">
        <f aca="false">IF(G130=0,0,G134/G130)</f>
        <v>0.239395295617126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</cols>
  <sheetData>
    <row r="2" customFormat="false" ht="15" hidden="false" customHeight="false" outlineLevel="0" collapsed="false">
      <c r="B2" s="1" t="s">
        <v>91</v>
      </c>
    </row>
    <row r="3" customFormat="false" ht="15" hidden="false" customHeight="false" outlineLevel="0" collapsed="false">
      <c r="B3" s="16" t="str">
        <f aca="false">CONCATENATE("Active: ",Assumptions!B6," scenario, Policy ",Assumptions!B8)</f>
        <v>Active: Base scenario, Policy On</v>
      </c>
    </row>
    <row r="5" customFormat="false" ht="15" hidden="false" customHeight="false" outlineLevel="0" collapsed="false">
      <c r="B5" s="4" t="s">
        <v>92</v>
      </c>
      <c r="C5" s="4"/>
      <c r="D5" s="4"/>
    </row>
    <row r="6" customFormat="false" ht="15" hidden="false" customHeight="false" outlineLevel="0" collapsed="false">
      <c r="B6" s="7" t="s">
        <v>77</v>
      </c>
      <c r="C6" s="27" t="n">
        <f aca="false">SUM(Model!C21:G21)</f>
        <v>2965322.622344</v>
      </c>
    </row>
    <row r="7" customFormat="false" ht="15" hidden="false" customHeight="false" outlineLevel="0" collapsed="false">
      <c r="B7" s="7" t="s">
        <v>78</v>
      </c>
      <c r="C7" s="27" t="n">
        <f aca="false">SUM(Model!C25:G25)</f>
        <v>75311.6951435194</v>
      </c>
    </row>
    <row r="8" customFormat="false" ht="15" hidden="false" customHeight="false" outlineLevel="0" collapsed="false">
      <c r="B8" s="7" t="s">
        <v>79</v>
      </c>
      <c r="C8" s="27" t="n">
        <f aca="false">Model!G21</f>
        <v>1026848.449544</v>
      </c>
    </row>
    <row r="9" customFormat="false" ht="15" hidden="false" customHeight="false" outlineLevel="0" collapsed="false">
      <c r="B9" s="7" t="s">
        <v>93</v>
      </c>
      <c r="C9" s="27" t="n">
        <f aca="false">Model!G25</f>
        <v>308579.83911952</v>
      </c>
    </row>
    <row r="10" customFormat="false" ht="15" hidden="false" customHeight="false" outlineLevel="0" collapsed="false">
      <c r="B10" s="7" t="s">
        <v>80</v>
      </c>
      <c r="C10" s="28" t="n">
        <f aca="false">Model!G26</f>
        <v>0.300511569410806</v>
      </c>
    </row>
    <row r="12" customFormat="false" ht="15" hidden="false" customHeight="false" outlineLevel="0" collapsed="false">
      <c r="B12" s="4" t="s">
        <v>75</v>
      </c>
      <c r="C12" s="4"/>
      <c r="D12" s="4"/>
      <c r="E12" s="4"/>
    </row>
    <row r="13" customFormat="false" ht="15" hidden="false" customHeight="false" outlineLevel="0" collapsed="false">
      <c r="C13" s="12" t="str">
        <f aca="false">Scenarios!C5</f>
        <v>Bull</v>
      </c>
      <c r="D13" s="12" t="str">
        <f aca="false">Scenarios!D5</f>
        <v>Base</v>
      </c>
      <c r="E13" s="12" t="str">
        <f aca="false">Scenarios!E5</f>
        <v>Bear</v>
      </c>
    </row>
    <row r="14" customFormat="false" ht="15" hidden="false" customHeight="false" outlineLevel="0" collapsed="false">
      <c r="B14" s="7" t="s">
        <v>77</v>
      </c>
      <c r="C14" s="29" t="n">
        <f aca="false">Scenarios!C6</f>
        <v>5376549.1619535</v>
      </c>
      <c r="D14" s="29" t="n">
        <f aca="false">Scenarios!D6</f>
        <v>2965322.622344</v>
      </c>
      <c r="E14" s="29" t="n">
        <f aca="false">Scenarios!E6</f>
        <v>1356278.8900456</v>
      </c>
    </row>
    <row r="15" customFormat="false" ht="15" hidden="false" customHeight="false" outlineLevel="0" collapsed="false">
      <c r="B15" s="7" t="s">
        <v>78</v>
      </c>
      <c r="C15" s="29" t="n">
        <f aca="false">Scenarios!C7</f>
        <v>2437138.24084853</v>
      </c>
      <c r="D15" s="29" t="n">
        <f aca="false">Scenarios!D7</f>
        <v>75311.6951435194</v>
      </c>
      <c r="E15" s="29" t="n">
        <f aca="false">Scenarios!E7</f>
        <v>-1511706.63162482</v>
      </c>
    </row>
    <row r="16" customFormat="false" ht="15" hidden="false" customHeight="false" outlineLevel="0" collapsed="false">
      <c r="B16" s="7" t="s">
        <v>79</v>
      </c>
      <c r="C16" s="29" t="n">
        <f aca="false">Scenarios!C8</f>
        <v>1851197.5972785</v>
      </c>
      <c r="D16" s="29" t="n">
        <f aca="false">Scenarios!D8</f>
        <v>1026848.449544</v>
      </c>
      <c r="E16" s="29" t="n">
        <f aca="false">Scenarios!E8</f>
        <v>452233.2256056</v>
      </c>
    </row>
    <row r="18" customFormat="false" ht="15" hidden="false" customHeight="false" outlineLevel="0" collapsed="false">
      <c r="C18" s="30" t="s">
        <v>48</v>
      </c>
      <c r="D18" s="30" t="s">
        <v>49</v>
      </c>
      <c r="E18" s="30" t="s">
        <v>50</v>
      </c>
      <c r="F18" s="30" t="s">
        <v>51</v>
      </c>
      <c r="G18" s="30" t="s">
        <v>52</v>
      </c>
    </row>
    <row r="19" customFormat="false" ht="15" hidden="false" customHeight="false" outlineLevel="0" collapsed="false">
      <c r="B19" s="31" t="s">
        <v>94</v>
      </c>
    </row>
    <row r="20" customFormat="false" ht="15" hidden="false" customHeight="false" outlineLevel="0" collapsed="false">
      <c r="B20" s="0" t="s">
        <v>33</v>
      </c>
      <c r="C20" s="32" t="n">
        <f aca="false">Scenarios!C34</f>
        <v>362100</v>
      </c>
      <c r="D20" s="32" t="n">
        <f aca="false">Scenarios!D34</f>
        <v>690998.25</v>
      </c>
      <c r="E20" s="32" t="n">
        <f aca="false">Scenarios!E34</f>
        <v>1044096.24</v>
      </c>
      <c r="F20" s="32" t="n">
        <f aca="false">Scenarios!F34</f>
        <v>1428157.074675</v>
      </c>
      <c r="G20" s="32" t="n">
        <f aca="false">Scenarios!G34</f>
        <v>1851197.5972785</v>
      </c>
    </row>
    <row r="21" customFormat="false" ht="15" hidden="false" customHeight="false" outlineLevel="0" collapsed="false">
      <c r="B21" s="0" t="s">
        <v>17</v>
      </c>
      <c r="C21" s="32" t="n">
        <f aca="false">Scenarios!C58</f>
        <v>180500</v>
      </c>
      <c r="D21" s="32" t="n">
        <f aca="false">Scenarios!D58</f>
        <v>376964.5</v>
      </c>
      <c r="E21" s="32" t="n">
        <f aca="false">Scenarios!E58</f>
        <v>582474.11</v>
      </c>
      <c r="F21" s="32" t="n">
        <f aca="false">Scenarios!F58</f>
        <v>798535.5628</v>
      </c>
      <c r="G21" s="32" t="n">
        <f aca="false">Scenarios!G58</f>
        <v>1026848.449544</v>
      </c>
    </row>
    <row r="22" customFormat="false" ht="15" hidden="false" customHeight="false" outlineLevel="0" collapsed="false">
      <c r="B22" s="0" t="s">
        <v>34</v>
      </c>
      <c r="C22" s="32" t="n">
        <f aca="false">Scenarios!C82</f>
        <v>94960</v>
      </c>
      <c r="D22" s="32" t="n">
        <f aca="false">Scenarios!D82</f>
        <v>180824.4</v>
      </c>
      <c r="E22" s="32" t="n">
        <f aca="false">Scenarios!E82</f>
        <v>268916.256</v>
      </c>
      <c r="F22" s="32" t="n">
        <f aca="false">Scenarios!F82</f>
        <v>359345.00844</v>
      </c>
      <c r="G22" s="32" t="n">
        <f aca="false">Scenarios!G82</f>
        <v>452233.2256056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2026-06-22T21:18:24Z</dcterms:created>
  <dc:creator>openpyxl</dc:creator>
  <dc:description/>
  <dc:language>en-US</dc:language>
  <cp:lastModifiedBy/>
  <dcterms:modified xsi:type="dcterms:W3CDTF">2026-06-22T21:18:32Z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